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8bff837376f036e3/바탕 화면/과제/2024년 1학기/보안알고리즘/"/>
    </mc:Choice>
  </mc:AlternateContent>
  <xr:revisionPtr revIDLastSave="13" documentId="8_{1F95C5D4-77E4-4B39-A031-ACF1F400B687}" xr6:coauthVersionLast="47" xr6:coauthVersionMax="47" xr10:uidLastSave="{8CFB3495-DA71-4C28-B38F-8E8E4B544DA7}"/>
  <bookViews>
    <workbookView xWindow="-108" yWindow="-108" windowWidth="23256" windowHeight="12456" activeTab="2" xr2:uid="{00000000-000D-0000-FFFF-FFFF00000000}"/>
  </bookViews>
  <sheets>
    <sheet name="종합" sheetId="2" r:id="rId1"/>
    <sheet name="메시지분할" sheetId="4" r:id="rId2"/>
    <sheet name="메시지스케줄" sheetId="1" r:id="rId3"/>
    <sheet name="K상수" sheetId="5" r:id="rId4"/>
    <sheet name="라운드연산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BG28" i="1" s="1"/>
  <c r="C31" i="1"/>
  <c r="C29" i="1"/>
  <c r="W29" i="1"/>
  <c r="Q29" i="1"/>
  <c r="J29" i="1"/>
  <c r="F18" i="6"/>
  <c r="F9" i="6"/>
  <c r="G18" i="6"/>
  <c r="E20" i="6"/>
  <c r="E11" i="6"/>
  <c r="D20" i="6"/>
  <c r="D11" i="6"/>
  <c r="E9" i="6"/>
  <c r="E18" i="6"/>
  <c r="H584" i="6"/>
  <c r="H585" i="6" s="1"/>
  <c r="D584" i="6"/>
  <c r="D585" i="6" s="1"/>
  <c r="C584" i="6"/>
  <c r="C585" i="6" s="1"/>
  <c r="C19" i="4"/>
  <c r="AT23" i="4" s="1"/>
  <c r="E584" i="6"/>
  <c r="E585" i="6" s="1"/>
  <c r="F584" i="6"/>
  <c r="F585" i="6" s="1"/>
  <c r="G584" i="6"/>
  <c r="I584" i="6"/>
  <c r="I585" i="6" s="1"/>
  <c r="J585" i="6"/>
  <c r="G585" i="6"/>
  <c r="C18" i="6" l="1"/>
  <c r="C20" i="6"/>
  <c r="C11" i="6"/>
  <c r="C6" i="2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6" i="5"/>
  <c r="BC17" i="1"/>
  <c r="C7" i="4" l="1"/>
  <c r="BN11" i="4" s="1"/>
  <c r="C12" i="4"/>
  <c r="C24" i="4"/>
  <c r="C3" i="2"/>
  <c r="BG9" i="1" l="1"/>
  <c r="C5" i="2"/>
  <c r="AA11" i="4"/>
  <c r="C11" i="4"/>
  <c r="D11" i="4"/>
  <c r="U11" i="4"/>
  <c r="AR11" i="4"/>
  <c r="AS11" i="4"/>
  <c r="E11" i="4"/>
  <c r="AB11" i="4"/>
  <c r="AY11" i="4"/>
  <c r="K11" i="4"/>
  <c r="AC11" i="4"/>
  <c r="AZ11" i="4"/>
  <c r="L11" i="4"/>
  <c r="AI11" i="4"/>
  <c r="BA11" i="4"/>
  <c r="M11" i="4"/>
  <c r="AJ11" i="4"/>
  <c r="BG11" i="4"/>
  <c r="S11" i="4"/>
  <c r="AK11" i="4"/>
  <c r="BH11" i="4"/>
  <c r="T11" i="4"/>
  <c r="AQ11" i="4"/>
  <c r="BI11" i="4"/>
  <c r="F11" i="4"/>
  <c r="N11" i="4"/>
  <c r="V11" i="4"/>
  <c r="AD11" i="4"/>
  <c r="AL11" i="4"/>
  <c r="AT11" i="4"/>
  <c r="BB11" i="4"/>
  <c r="BJ11" i="4"/>
  <c r="G11" i="4"/>
  <c r="O11" i="4"/>
  <c r="W11" i="4"/>
  <c r="AE11" i="4"/>
  <c r="AM11" i="4"/>
  <c r="AU11" i="4"/>
  <c r="BC11" i="4"/>
  <c r="BK11" i="4"/>
  <c r="H11" i="4"/>
  <c r="P11" i="4"/>
  <c r="X11" i="4"/>
  <c r="AF11" i="4"/>
  <c r="AN11" i="4"/>
  <c r="AV11" i="4"/>
  <c r="BD11" i="4"/>
  <c r="BL11" i="4"/>
  <c r="I11" i="4"/>
  <c r="Q11" i="4"/>
  <c r="Y11" i="4"/>
  <c r="AG11" i="4"/>
  <c r="AO11" i="4"/>
  <c r="AW11" i="4"/>
  <c r="BE11" i="4"/>
  <c r="BM11" i="4"/>
  <c r="J11" i="4"/>
  <c r="R11" i="4"/>
  <c r="Z11" i="4"/>
  <c r="AH11" i="4"/>
  <c r="AP11" i="4"/>
  <c r="AX11" i="4"/>
  <c r="BF11" i="4"/>
  <c r="C8" i="4"/>
  <c r="F10" i="4" l="1"/>
  <c r="N10" i="4"/>
  <c r="V10" i="4"/>
  <c r="AD10" i="4"/>
  <c r="AL10" i="4"/>
  <c r="AT10" i="4"/>
  <c r="BB10" i="4"/>
  <c r="BJ10" i="4"/>
  <c r="H10" i="4"/>
  <c r="X10" i="4"/>
  <c r="AN10" i="4"/>
  <c r="BD10" i="4"/>
  <c r="G10" i="4"/>
  <c r="O10" i="4"/>
  <c r="W10" i="4"/>
  <c r="AE10" i="4"/>
  <c r="AM10" i="4"/>
  <c r="AU10" i="4"/>
  <c r="BC10" i="4"/>
  <c r="BK10" i="4"/>
  <c r="P10" i="4"/>
  <c r="AF10" i="4"/>
  <c r="AV10" i="4"/>
  <c r="BL10" i="4"/>
  <c r="J10" i="4"/>
  <c r="I10" i="4"/>
  <c r="Q10" i="4"/>
  <c r="Y10" i="4"/>
  <c r="AG10" i="4"/>
  <c r="AO10" i="4"/>
  <c r="AW10" i="4"/>
  <c r="BE10" i="4"/>
  <c r="BM10" i="4"/>
  <c r="D10" i="4"/>
  <c r="L10" i="4"/>
  <c r="T10" i="4"/>
  <c r="AB10" i="4"/>
  <c r="AJ10" i="4"/>
  <c r="AR10" i="4"/>
  <c r="AZ10" i="4"/>
  <c r="BH10" i="4"/>
  <c r="E10" i="4"/>
  <c r="M10" i="4"/>
  <c r="S10" i="4"/>
  <c r="AP10" i="4"/>
  <c r="BI10" i="4"/>
  <c r="AA10" i="4"/>
  <c r="AC10" i="4"/>
  <c r="BA10" i="4"/>
  <c r="U10" i="4"/>
  <c r="AQ10" i="4"/>
  <c r="BN10" i="4"/>
  <c r="Z10" i="4"/>
  <c r="AS10" i="4"/>
  <c r="C10" i="4"/>
  <c r="AX10" i="4"/>
  <c r="AY10" i="4"/>
  <c r="AH10" i="4"/>
  <c r="AK10" i="4"/>
  <c r="C13" i="4"/>
  <c r="BG10" i="4"/>
  <c r="K10" i="4"/>
  <c r="AI10" i="4"/>
  <c r="BF10" i="4"/>
  <c r="R10" i="4"/>
  <c r="BI22" i="4"/>
  <c r="AI22" i="4"/>
  <c r="AW22" i="4"/>
  <c r="F22" i="4"/>
  <c r="AO22" i="4"/>
  <c r="T22" i="4"/>
  <c r="AA22" i="4"/>
  <c r="AP22" i="4"/>
  <c r="AH22" i="4"/>
  <c r="AY22" i="4"/>
  <c r="BF22" i="4"/>
  <c r="BM22" i="4"/>
  <c r="G22" i="4"/>
  <c r="AE22" i="4"/>
  <c r="AQ22" i="4"/>
  <c r="AX22" i="4"/>
  <c r="BE22" i="4"/>
  <c r="S22" i="4"/>
  <c r="Z22" i="4"/>
  <c r="AG22" i="4"/>
  <c r="AU22" i="4"/>
  <c r="BH22" i="4"/>
  <c r="K22" i="4"/>
  <c r="R22" i="4"/>
  <c r="Y22" i="4"/>
  <c r="AJ22" i="4"/>
  <c r="AT22" i="4"/>
  <c r="C22" i="4"/>
  <c r="V22" i="4"/>
  <c r="BD22" i="4"/>
  <c r="J22" i="4"/>
  <c r="Q22" i="4"/>
  <c r="AF22" i="4"/>
  <c r="BG22" i="4"/>
  <c r="BN22" i="4"/>
  <c r="C20" i="4"/>
  <c r="I22" i="4"/>
  <c r="H22" i="4"/>
  <c r="U22" i="4"/>
  <c r="AS22" i="4"/>
  <c r="BK22" i="4"/>
  <c r="AN22" i="4"/>
  <c r="W22" i="4"/>
  <c r="BJ22" i="4"/>
  <c r="AM22" i="4"/>
  <c r="P22" i="4"/>
  <c r="AL22" i="4"/>
  <c r="BB22" i="4"/>
  <c r="N22" i="4"/>
  <c r="BA22" i="4"/>
  <c r="AD22" i="4"/>
  <c r="M22" i="4"/>
  <c r="AK22" i="4"/>
  <c r="AZ22" i="4"/>
  <c r="AC22" i="4"/>
  <c r="L22" i="4"/>
  <c r="AV22" i="4"/>
  <c r="AB22" i="4"/>
  <c r="E22" i="4"/>
  <c r="BL22" i="4"/>
  <c r="AR22" i="4"/>
  <c r="X22" i="4"/>
  <c r="D22" i="4"/>
  <c r="BC22" i="4"/>
  <c r="O22" i="4"/>
  <c r="D12" i="4" l="1"/>
  <c r="D13" i="4" s="1"/>
  <c r="C14" i="4"/>
  <c r="C8" i="1" s="1"/>
  <c r="J12" i="1" s="1"/>
  <c r="Q12" i="1" l="1"/>
  <c r="W12" i="1"/>
  <c r="E12" i="4"/>
  <c r="E13" i="4" s="1"/>
  <c r="D14" i="4"/>
  <c r="D8" i="1" s="1"/>
  <c r="K12" i="1" s="1"/>
  <c r="R12" i="1" l="1"/>
  <c r="X12" i="1"/>
  <c r="F12" i="4"/>
  <c r="F13" i="4" s="1"/>
  <c r="E14" i="4"/>
  <c r="E8" i="1" s="1"/>
  <c r="L12" i="1" s="1"/>
  <c r="S12" i="1" l="1"/>
  <c r="Y12" i="1"/>
  <c r="G12" i="4"/>
  <c r="G13" i="4" s="1"/>
  <c r="F14" i="4"/>
  <c r="F8" i="1" s="1"/>
  <c r="M12" i="1" s="1"/>
  <c r="T12" i="1" l="1"/>
  <c r="Z12" i="1"/>
  <c r="G14" i="4"/>
  <c r="G8" i="1" s="1"/>
  <c r="J13" i="1" s="1"/>
  <c r="H12" i="4"/>
  <c r="H13" i="4" s="1"/>
  <c r="I12" i="4" l="1"/>
  <c r="I13" i="4" s="1"/>
  <c r="H14" i="4"/>
  <c r="H8" i="1" s="1"/>
  <c r="K13" i="1" s="1"/>
  <c r="X13" i="1" l="1"/>
  <c r="R13" i="1"/>
  <c r="J12" i="4"/>
  <c r="J13" i="4" s="1"/>
  <c r="I14" i="4"/>
  <c r="I8" i="1" s="1"/>
  <c r="L13" i="1" s="1"/>
  <c r="Y13" i="1" l="1"/>
  <c r="S13" i="1"/>
  <c r="K12" i="4"/>
  <c r="K13" i="4" s="1"/>
  <c r="J14" i="4"/>
  <c r="J8" i="1" s="1"/>
  <c r="M13" i="1" s="1"/>
  <c r="T13" i="1" l="1"/>
  <c r="Z13" i="1"/>
  <c r="L12" i="4"/>
  <c r="K14" i="4"/>
  <c r="K8" i="1" s="1"/>
  <c r="J14" i="1" s="1"/>
  <c r="Q14" i="1" l="1"/>
  <c r="W14" i="1"/>
  <c r="Q13" i="1"/>
  <c r="W13" i="1"/>
  <c r="M12" i="4"/>
  <c r="L13" i="4"/>
  <c r="L14" i="4" s="1"/>
  <c r="L8" i="1" s="1"/>
  <c r="K14" i="1" s="1"/>
  <c r="X14" i="1" l="1"/>
  <c r="R14" i="1"/>
  <c r="N12" i="4"/>
  <c r="M13" i="4"/>
  <c r="M14" i="4" s="1"/>
  <c r="M8" i="1" s="1"/>
  <c r="L14" i="1" s="1"/>
  <c r="S14" i="1" l="1"/>
  <c r="Y14" i="1"/>
  <c r="O12" i="4"/>
  <c r="N13" i="4"/>
  <c r="N14" i="4" s="1"/>
  <c r="N8" i="1" s="1"/>
  <c r="M14" i="1" s="1"/>
  <c r="Z14" i="1" l="1"/>
  <c r="T14" i="1"/>
  <c r="P12" i="4"/>
  <c r="O13" i="4"/>
  <c r="O14" i="4" s="1"/>
  <c r="O8" i="1" s="1"/>
  <c r="J15" i="1" s="1"/>
  <c r="W15" i="1" l="1"/>
  <c r="Q15" i="1"/>
  <c r="Q12" i="4"/>
  <c r="P13" i="4"/>
  <c r="P14" i="4" s="1"/>
  <c r="P8" i="1" s="1"/>
  <c r="K15" i="1" s="1"/>
  <c r="X15" i="1" l="1"/>
  <c r="R15" i="1"/>
  <c r="R12" i="4"/>
  <c r="Q13" i="4"/>
  <c r="Q14" i="4" s="1"/>
  <c r="Q8" i="1" s="1"/>
  <c r="L15" i="1" s="1"/>
  <c r="S15" i="1" l="1"/>
  <c r="Y15" i="1"/>
  <c r="S12" i="4"/>
  <c r="R13" i="4"/>
  <c r="R14" i="4" s="1"/>
  <c r="R8" i="1" s="1"/>
  <c r="M15" i="1" s="1"/>
  <c r="Z15" i="1" l="1"/>
  <c r="T15" i="1"/>
  <c r="T12" i="4"/>
  <c r="S13" i="4"/>
  <c r="S14" i="4" s="1"/>
  <c r="S8" i="1" s="1"/>
  <c r="J16" i="1" s="1"/>
  <c r="Q16" i="1" l="1"/>
  <c r="W16" i="1"/>
  <c r="U12" i="4"/>
  <c r="T13" i="4"/>
  <c r="T14" i="4" s="1"/>
  <c r="T8" i="1" s="1"/>
  <c r="K16" i="1" s="1"/>
  <c r="R16" i="1" l="1"/>
  <c r="X16" i="1"/>
  <c r="V12" i="4"/>
  <c r="U13" i="4"/>
  <c r="U14" i="4" s="1"/>
  <c r="U8" i="1" s="1"/>
  <c r="L16" i="1" s="1"/>
  <c r="Y16" i="1" l="1"/>
  <c r="S16" i="1"/>
  <c r="W12" i="4"/>
  <c r="V13" i="4"/>
  <c r="V14" i="4" s="1"/>
  <c r="V8" i="1" s="1"/>
  <c r="M16" i="1" s="1"/>
  <c r="Z16" i="1" l="1"/>
  <c r="T16" i="1"/>
  <c r="X12" i="4"/>
  <c r="W13" i="4"/>
  <c r="W14" i="4" s="1"/>
  <c r="W8" i="1" s="1"/>
  <c r="J17" i="1" s="1"/>
  <c r="W17" i="1" l="1"/>
  <c r="Q17" i="1"/>
  <c r="Y12" i="4"/>
  <c r="X13" i="4"/>
  <c r="X14" i="4" s="1"/>
  <c r="X8" i="1" s="1"/>
  <c r="K17" i="1" s="1"/>
  <c r="X17" i="1" l="1"/>
  <c r="R17" i="1"/>
  <c r="Z12" i="4"/>
  <c r="Y13" i="4"/>
  <c r="Y14" i="4" s="1"/>
  <c r="Y8" i="1" s="1"/>
  <c r="L17" i="1" s="1"/>
  <c r="S17" i="1" l="1"/>
  <c r="Y17" i="1"/>
  <c r="AA12" i="4"/>
  <c r="Z13" i="4"/>
  <c r="Z14" i="4" s="1"/>
  <c r="Z8" i="1" s="1"/>
  <c r="M17" i="1" s="1"/>
  <c r="Z17" i="1" l="1"/>
  <c r="T17" i="1"/>
  <c r="AB12" i="4"/>
  <c r="AA13" i="4"/>
  <c r="AA14" i="4" s="1"/>
  <c r="AA8" i="1" s="1"/>
  <c r="J18" i="1" s="1"/>
  <c r="Q18" i="1" l="1"/>
  <c r="W18" i="1"/>
  <c r="AC12" i="4"/>
  <c r="AB13" i="4"/>
  <c r="AB14" i="4" s="1"/>
  <c r="AB8" i="1" s="1"/>
  <c r="K18" i="1" s="1"/>
  <c r="R18" i="1" l="1"/>
  <c r="X18" i="1"/>
  <c r="AD12" i="4"/>
  <c r="AC13" i="4"/>
  <c r="AC14" i="4" s="1"/>
  <c r="AC8" i="1" s="1"/>
  <c r="L18" i="1" s="1"/>
  <c r="S18" i="1" l="1"/>
  <c r="Y18" i="1"/>
  <c r="AE12" i="4"/>
  <c r="AD13" i="4"/>
  <c r="AD14" i="4" s="1"/>
  <c r="AD8" i="1" s="1"/>
  <c r="M18" i="1" s="1"/>
  <c r="Z18" i="1" l="1"/>
  <c r="T18" i="1"/>
  <c r="AF12" i="4"/>
  <c r="AE13" i="4"/>
  <c r="AE14" i="4" s="1"/>
  <c r="AE8" i="1" s="1"/>
  <c r="J19" i="1" s="1"/>
  <c r="W19" i="1" l="1"/>
  <c r="Q19" i="1"/>
  <c r="AG12" i="4"/>
  <c r="AF13" i="4"/>
  <c r="AF14" i="4" s="1"/>
  <c r="AF8" i="1" s="1"/>
  <c r="K19" i="1" s="1"/>
  <c r="R19" i="1" l="1"/>
  <c r="X19" i="1"/>
  <c r="AH12" i="4"/>
  <c r="AG13" i="4"/>
  <c r="AG14" i="4" s="1"/>
  <c r="AG8" i="1" s="1"/>
  <c r="L19" i="1" s="1"/>
  <c r="Y19" i="1" l="1"/>
  <c r="S19" i="1"/>
  <c r="AI12" i="4"/>
  <c r="AH13" i="4"/>
  <c r="AH14" i="4" s="1"/>
  <c r="AH8" i="1" s="1"/>
  <c r="M19" i="1" s="1"/>
  <c r="T19" i="1" l="1"/>
  <c r="Z19" i="1"/>
  <c r="AJ12" i="4"/>
  <c r="AI13" i="4"/>
  <c r="AI14" i="4" s="1"/>
  <c r="AI8" i="1" s="1"/>
  <c r="J20" i="1" s="1"/>
  <c r="W20" i="1" l="1"/>
  <c r="Q20" i="1"/>
  <c r="AK12" i="4"/>
  <c r="AJ13" i="4"/>
  <c r="AJ14" i="4" s="1"/>
  <c r="AJ8" i="1" s="1"/>
  <c r="K20" i="1" s="1"/>
  <c r="X20" i="1" l="1"/>
  <c r="R20" i="1"/>
  <c r="AL12" i="4"/>
  <c r="AK13" i="4"/>
  <c r="AK14" i="4" s="1"/>
  <c r="AK8" i="1" s="1"/>
  <c r="L20" i="1" s="1"/>
  <c r="S20" i="1" l="1"/>
  <c r="Y20" i="1"/>
  <c r="AM12" i="4"/>
  <c r="AL13" i="4"/>
  <c r="AL14" i="4" s="1"/>
  <c r="AL8" i="1" s="1"/>
  <c r="M20" i="1" s="1"/>
  <c r="T20" i="1" l="1"/>
  <c r="Z20" i="1"/>
  <c r="AN12" i="4"/>
  <c r="AM13" i="4"/>
  <c r="AM14" i="4" s="1"/>
  <c r="AM8" i="1" s="1"/>
  <c r="J21" i="1" s="1"/>
  <c r="W21" i="1" l="1"/>
  <c r="Q21" i="1"/>
  <c r="AO12" i="4"/>
  <c r="AN13" i="4"/>
  <c r="AN14" i="4" s="1"/>
  <c r="AN8" i="1" s="1"/>
  <c r="K21" i="1" s="1"/>
  <c r="X21" i="1" l="1"/>
  <c r="R21" i="1"/>
  <c r="AP12" i="4"/>
  <c r="AO13" i="4"/>
  <c r="AO14" i="4" s="1"/>
  <c r="AO8" i="1" s="1"/>
  <c r="L21" i="1" s="1"/>
  <c r="S21" i="1" l="1"/>
  <c r="Y21" i="1"/>
  <c r="AQ12" i="4"/>
  <c r="AP13" i="4"/>
  <c r="AP14" i="4" s="1"/>
  <c r="AP8" i="1" s="1"/>
  <c r="M21" i="1" s="1"/>
  <c r="Z21" i="1" l="1"/>
  <c r="T21" i="1"/>
  <c r="AR12" i="4"/>
  <c r="AQ13" i="4"/>
  <c r="AQ14" i="4" s="1"/>
  <c r="AQ8" i="1" s="1"/>
  <c r="J22" i="1" s="1"/>
  <c r="W22" i="1" l="1"/>
  <c r="Q22" i="1"/>
  <c r="AS12" i="4"/>
  <c r="AR13" i="4"/>
  <c r="AR14" i="4" s="1"/>
  <c r="AR8" i="1" s="1"/>
  <c r="K22" i="1" s="1"/>
  <c r="X22" i="1" l="1"/>
  <c r="R22" i="1"/>
  <c r="AT12" i="4"/>
  <c r="AS13" i="4"/>
  <c r="AS14" i="4" s="1"/>
  <c r="AS8" i="1" s="1"/>
  <c r="L22" i="1" s="1"/>
  <c r="S22" i="1" l="1"/>
  <c r="Y22" i="1"/>
  <c r="AU12" i="4"/>
  <c r="AT13" i="4"/>
  <c r="AT14" i="4" s="1"/>
  <c r="AT8" i="1" s="1"/>
  <c r="M22" i="1" s="1"/>
  <c r="T22" i="1" l="1"/>
  <c r="Z22" i="1"/>
  <c r="AV12" i="4"/>
  <c r="AU13" i="4"/>
  <c r="AU14" i="4" s="1"/>
  <c r="AU8" i="1" s="1"/>
  <c r="J23" i="1" s="1"/>
  <c r="Q23" i="1" l="1"/>
  <c r="W23" i="1"/>
  <c r="AW12" i="4"/>
  <c r="AV13" i="4"/>
  <c r="AV14" i="4" s="1"/>
  <c r="AV8" i="1" s="1"/>
  <c r="K23" i="1" s="1"/>
  <c r="X23" i="1" l="1"/>
  <c r="R23" i="1"/>
  <c r="AX12" i="4"/>
  <c r="AW13" i="4"/>
  <c r="AW14" i="4" s="1"/>
  <c r="AW8" i="1" s="1"/>
  <c r="L23" i="1" s="1"/>
  <c r="S23" i="1" l="1"/>
  <c r="Y23" i="1"/>
  <c r="AY12" i="4"/>
  <c r="AX13" i="4"/>
  <c r="AX14" i="4" s="1"/>
  <c r="AX8" i="1" s="1"/>
  <c r="M23" i="1" s="1"/>
  <c r="Z23" i="1" l="1"/>
  <c r="T23" i="1"/>
  <c r="AZ12" i="4"/>
  <c r="AY13" i="4"/>
  <c r="AY14" i="4" s="1"/>
  <c r="AY8" i="1" s="1"/>
  <c r="J24" i="1" s="1"/>
  <c r="W24" i="1" l="1"/>
  <c r="Q24" i="1"/>
  <c r="BA12" i="4"/>
  <c r="AZ13" i="4"/>
  <c r="AZ14" i="4" s="1"/>
  <c r="AZ8" i="1" s="1"/>
  <c r="K24" i="1" s="1"/>
  <c r="X24" i="1" l="1"/>
  <c r="R24" i="1"/>
  <c r="BB12" i="4"/>
  <c r="BA13" i="4"/>
  <c r="BA14" i="4" s="1"/>
  <c r="BA8" i="1" s="1"/>
  <c r="L24" i="1" s="1"/>
  <c r="Y24" i="1" l="1"/>
  <c r="S24" i="1"/>
  <c r="BC12" i="4"/>
  <c r="BB13" i="4"/>
  <c r="BB14" i="4" s="1"/>
  <c r="BB8" i="1" s="1"/>
  <c r="M24" i="1" s="1"/>
  <c r="Z24" i="1" l="1"/>
  <c r="T24" i="1"/>
  <c r="BD12" i="4"/>
  <c r="BC13" i="4"/>
  <c r="BC14" i="4" s="1"/>
  <c r="BC8" i="1" s="1"/>
  <c r="J25" i="1" s="1"/>
  <c r="Q25" i="1" l="1"/>
  <c r="W25" i="1"/>
  <c r="BE12" i="4"/>
  <c r="BD13" i="4"/>
  <c r="BD14" i="4" s="1"/>
  <c r="BD8" i="1" s="1"/>
  <c r="K25" i="1" s="1"/>
  <c r="R25" i="1" l="1"/>
  <c r="X25" i="1"/>
  <c r="BF12" i="4"/>
  <c r="BE13" i="4"/>
  <c r="BE14" i="4" s="1"/>
  <c r="BE8" i="1" s="1"/>
  <c r="L25" i="1" s="1"/>
  <c r="S25" i="1" l="1"/>
  <c r="Y25" i="1"/>
  <c r="BG12" i="4"/>
  <c r="BF13" i="4"/>
  <c r="BF14" i="4" s="1"/>
  <c r="BF8" i="1" s="1"/>
  <c r="M25" i="1" s="1"/>
  <c r="T25" i="1" l="1"/>
  <c r="Z25" i="1"/>
  <c r="BG13" i="4"/>
  <c r="BH13" i="4" s="1"/>
  <c r="BI13" i="4" s="1"/>
  <c r="BJ13" i="4" s="1"/>
  <c r="BK13" i="4" s="1"/>
  <c r="BL13" i="4" s="1"/>
  <c r="BM13" i="4" s="1"/>
  <c r="BN13" i="4" s="1"/>
  <c r="BH12" i="4"/>
  <c r="BG14" i="4" l="1"/>
  <c r="BG8" i="1" s="1"/>
  <c r="BI12" i="4"/>
  <c r="BH14" i="4"/>
  <c r="BH8" i="1" s="1"/>
  <c r="K26" i="1" s="1"/>
  <c r="Z26" i="1" l="1"/>
  <c r="Y26" i="1"/>
  <c r="X26" i="1"/>
  <c r="W26" i="1"/>
  <c r="X27" i="1"/>
  <c r="Y27" i="1"/>
  <c r="W27" i="1"/>
  <c r="Z27" i="1"/>
  <c r="J26" i="1"/>
  <c r="D26" i="1"/>
  <c r="R26" i="1"/>
  <c r="Q26" i="1"/>
  <c r="BJ12" i="4"/>
  <c r="BI14" i="4"/>
  <c r="BI8" i="1" s="1"/>
  <c r="L26" i="1" s="1"/>
  <c r="AH26" i="1" l="1"/>
  <c r="S26" i="1"/>
  <c r="E26" i="1"/>
  <c r="BK12" i="4"/>
  <c r="BJ14" i="4"/>
  <c r="BJ8" i="1" s="1"/>
  <c r="M26" i="1" s="1"/>
  <c r="AI26" i="1" l="1"/>
  <c r="F26" i="1"/>
  <c r="T26" i="1"/>
  <c r="BL12" i="4"/>
  <c r="BK14" i="4"/>
  <c r="BK8" i="1" s="1"/>
  <c r="J27" i="1" s="1"/>
  <c r="C27" i="1" l="1"/>
  <c r="Q27" i="1"/>
  <c r="AJ26" i="1"/>
  <c r="BM12" i="4"/>
  <c r="BL14" i="4"/>
  <c r="BL8" i="1" s="1"/>
  <c r="K27" i="1" s="1"/>
  <c r="D27" i="1" l="1"/>
  <c r="R27" i="1"/>
  <c r="AG27" i="1"/>
  <c r="BN12" i="4"/>
  <c r="BN14" i="4" s="1"/>
  <c r="BN8" i="1" s="1"/>
  <c r="M27" i="1" s="1"/>
  <c r="BM14" i="4"/>
  <c r="BM8" i="1" s="1"/>
  <c r="L27" i="1" s="1"/>
  <c r="AH27" i="1" l="1"/>
  <c r="T27" i="1"/>
  <c r="F27" i="1"/>
  <c r="E27" i="1"/>
  <c r="S27" i="1"/>
  <c r="BN23" i="4"/>
  <c r="Z23" i="4"/>
  <c r="AO23" i="4"/>
  <c r="BL23" i="4"/>
  <c r="BD23" i="4"/>
  <c r="AV23" i="4"/>
  <c r="AN23" i="4"/>
  <c r="AF23" i="4"/>
  <c r="X23" i="4"/>
  <c r="P23" i="4"/>
  <c r="H23" i="4"/>
  <c r="AG23" i="4"/>
  <c r="I23" i="4"/>
  <c r="BK23" i="4"/>
  <c r="BC23" i="4"/>
  <c r="AU23" i="4"/>
  <c r="AM23" i="4"/>
  <c r="AE23" i="4"/>
  <c r="W23" i="4"/>
  <c r="O23" i="4"/>
  <c r="G23" i="4"/>
  <c r="BE23" i="4"/>
  <c r="Q23" i="4"/>
  <c r="BJ23" i="4"/>
  <c r="BB23" i="4"/>
  <c r="AL23" i="4"/>
  <c r="AD23" i="4"/>
  <c r="V23" i="4"/>
  <c r="N23" i="4"/>
  <c r="F23" i="4"/>
  <c r="AY23" i="4"/>
  <c r="AA23" i="4"/>
  <c r="K23" i="4"/>
  <c r="AX23" i="4"/>
  <c r="R23" i="4"/>
  <c r="BI23" i="4"/>
  <c r="BA23" i="4"/>
  <c r="AS23" i="4"/>
  <c r="AK23" i="4"/>
  <c r="AC23" i="4"/>
  <c r="U23" i="4"/>
  <c r="M23" i="4"/>
  <c r="E23" i="4"/>
  <c r="AZ23" i="4"/>
  <c r="AJ23" i="4"/>
  <c r="AB23" i="4"/>
  <c r="L23" i="4"/>
  <c r="D23" i="4"/>
  <c r="AI23" i="4"/>
  <c r="BF23" i="4"/>
  <c r="AH23" i="4"/>
  <c r="BM23" i="4"/>
  <c r="Y23" i="4"/>
  <c r="BH23" i="4"/>
  <c r="AR23" i="4"/>
  <c r="T23" i="4"/>
  <c r="BG23" i="4"/>
  <c r="AQ23" i="4"/>
  <c r="S23" i="4"/>
  <c r="C23" i="4"/>
  <c r="C25" i="4" s="1"/>
  <c r="AP23" i="4"/>
  <c r="J23" i="4"/>
  <c r="AW23" i="4"/>
  <c r="C17" i="4"/>
  <c r="C6" i="1" s="1"/>
  <c r="AI27" i="1" l="1"/>
  <c r="AJ27" i="1"/>
  <c r="F13" i="1"/>
  <c r="AJ13" i="1" s="1"/>
  <c r="C22" i="1"/>
  <c r="AG22" i="1" s="1"/>
  <c r="D14" i="1"/>
  <c r="AH14" i="1" s="1"/>
  <c r="D16" i="1"/>
  <c r="AH16" i="1" s="1"/>
  <c r="C15" i="1"/>
  <c r="AG15" i="1" s="1"/>
  <c r="E20" i="1"/>
  <c r="AI20" i="1" s="1"/>
  <c r="D21" i="1"/>
  <c r="AH21" i="1" s="1"/>
  <c r="D15" i="1"/>
  <c r="AH15" i="1" s="1"/>
  <c r="F21" i="1"/>
  <c r="AJ21" i="1" s="1"/>
  <c r="F15" i="1"/>
  <c r="AJ15" i="1" s="1"/>
  <c r="E22" i="1"/>
  <c r="AI22" i="1" s="1"/>
  <c r="C18" i="1"/>
  <c r="AG18" i="1" s="1"/>
  <c r="F20" i="1"/>
  <c r="AJ20" i="1" s="1"/>
  <c r="E14" i="1"/>
  <c r="AI14" i="1" s="1"/>
  <c r="E21" i="1"/>
  <c r="AI21" i="1" s="1"/>
  <c r="C20" i="1"/>
  <c r="AG20" i="1" s="1"/>
  <c r="F17" i="1"/>
  <c r="AJ17" i="1" s="1"/>
  <c r="F25" i="1"/>
  <c r="AJ25" i="1" s="1"/>
  <c r="C14" i="1"/>
  <c r="AG14" i="1" s="1"/>
  <c r="D18" i="1"/>
  <c r="AH18" i="1" s="1"/>
  <c r="F19" i="1"/>
  <c r="AJ19" i="1" s="1"/>
  <c r="D20" i="1"/>
  <c r="AH20" i="1" s="1"/>
  <c r="E12" i="1"/>
  <c r="AI12" i="1" s="1"/>
  <c r="F12" i="1"/>
  <c r="AJ12" i="1" s="1"/>
  <c r="C26" i="1"/>
  <c r="AG26" i="1" s="1"/>
  <c r="AL26" i="1" s="1"/>
  <c r="E15" i="1"/>
  <c r="AI15" i="1" s="1"/>
  <c r="D22" i="1"/>
  <c r="AH22" i="1" s="1"/>
  <c r="C25" i="1"/>
  <c r="AG25" i="1" s="1"/>
  <c r="C19" i="1"/>
  <c r="AG19" i="1" s="1"/>
  <c r="C17" i="1"/>
  <c r="AG17" i="1" s="1"/>
  <c r="E19" i="1"/>
  <c r="AI19" i="1" s="1"/>
  <c r="E17" i="1"/>
  <c r="AI17" i="1" s="1"/>
  <c r="F22" i="1"/>
  <c r="AJ22" i="1" s="1"/>
  <c r="C24" i="1"/>
  <c r="AG24" i="1" s="1"/>
  <c r="D24" i="1"/>
  <c r="AH24" i="1" s="1"/>
  <c r="E18" i="1"/>
  <c r="AI18" i="1" s="1"/>
  <c r="D13" i="1"/>
  <c r="AH13" i="1" s="1"/>
  <c r="D23" i="1"/>
  <c r="AH23" i="1" s="1"/>
  <c r="E24" i="1"/>
  <c r="AI24" i="1" s="1"/>
  <c r="D25" i="1"/>
  <c r="AH25" i="1" s="1"/>
  <c r="D19" i="1"/>
  <c r="AH19" i="1" s="1"/>
  <c r="C16" i="1"/>
  <c r="AG16" i="1" s="1"/>
  <c r="C21" i="1"/>
  <c r="AG21" i="1" s="1"/>
  <c r="E13" i="1"/>
  <c r="AI13" i="1" s="1"/>
  <c r="F16" i="1"/>
  <c r="AJ16" i="1" s="1"/>
  <c r="F14" i="1"/>
  <c r="AJ14" i="1" s="1"/>
  <c r="C23" i="1"/>
  <c r="AG23" i="1" s="1"/>
  <c r="F23" i="1"/>
  <c r="AJ23" i="1" s="1"/>
  <c r="F24" i="1"/>
  <c r="AJ24" i="1" s="1"/>
  <c r="E25" i="1"/>
  <c r="AI25" i="1" s="1"/>
  <c r="E23" i="1"/>
  <c r="AI23" i="1" s="1"/>
  <c r="E16" i="1"/>
  <c r="AI16" i="1" s="1"/>
  <c r="F18" i="1"/>
  <c r="AJ18" i="1" s="1"/>
  <c r="D17" i="1"/>
  <c r="AH17" i="1" s="1"/>
  <c r="D12" i="1"/>
  <c r="AH12" i="1" s="1"/>
  <c r="C12" i="1"/>
  <c r="AG12" i="1" s="1"/>
  <c r="AL12" i="1" s="1"/>
  <c r="H9" i="6" s="1"/>
  <c r="C9" i="6" s="1"/>
  <c r="C13" i="1"/>
  <c r="AG13" i="1" s="1"/>
  <c r="D24" i="4"/>
  <c r="D25" i="4" s="1"/>
  <c r="C26" i="4"/>
  <c r="AL21" i="1" l="1"/>
  <c r="AL25" i="1"/>
  <c r="AL18" i="1"/>
  <c r="AL14" i="1"/>
  <c r="AL22" i="1"/>
  <c r="AL16" i="1"/>
  <c r="AL24" i="1"/>
  <c r="AL20" i="1"/>
  <c r="AL23" i="1"/>
  <c r="AL13" i="1"/>
  <c r="AL17" i="1"/>
  <c r="AL19" i="1"/>
  <c r="AL15" i="1"/>
  <c r="AL27" i="1"/>
  <c r="J34" i="1"/>
  <c r="Q42" i="1"/>
  <c r="BW42" i="1" s="1"/>
  <c r="W43" i="1"/>
  <c r="W28" i="1"/>
  <c r="Q38" i="1"/>
  <c r="BW38" i="1" s="1"/>
  <c r="W39" i="1"/>
  <c r="J30" i="1"/>
  <c r="Q32" i="1"/>
  <c r="BW32" i="1" s="1"/>
  <c r="W33" i="1"/>
  <c r="Q30" i="1"/>
  <c r="BW30" i="1" s="1"/>
  <c r="W31" i="1"/>
  <c r="J32" i="1"/>
  <c r="Q40" i="1"/>
  <c r="BW40" i="1" s="1"/>
  <c r="W41" i="1"/>
  <c r="Q33" i="1"/>
  <c r="BW33" i="1" s="1"/>
  <c r="W34" i="1"/>
  <c r="BW29" i="1"/>
  <c r="W30" i="1"/>
  <c r="W37" i="1"/>
  <c r="Q36" i="1"/>
  <c r="BW36" i="1" s="1"/>
  <c r="W36" i="1"/>
  <c r="Q35" i="1"/>
  <c r="BW35" i="1" s="1"/>
  <c r="Q34" i="1"/>
  <c r="BW34" i="1" s="1"/>
  <c r="W35" i="1"/>
  <c r="W38" i="1"/>
  <c r="Q37" i="1"/>
  <c r="BW37" i="1" s="1"/>
  <c r="Q31" i="1"/>
  <c r="BW31" i="1" s="1"/>
  <c r="W32" i="1"/>
  <c r="J31" i="1"/>
  <c r="Q39" i="1"/>
  <c r="BW39" i="1" s="1"/>
  <c r="W40" i="1"/>
  <c r="J33" i="1"/>
  <c r="Q41" i="1"/>
  <c r="BW41" i="1" s="1"/>
  <c r="W42" i="1"/>
  <c r="J28" i="1"/>
  <c r="Q28" i="1"/>
  <c r="BW28" i="1" s="1"/>
  <c r="E24" i="4"/>
  <c r="E25" i="4" s="1"/>
  <c r="D26" i="4"/>
  <c r="BK29" i="1" l="1"/>
  <c r="BG29" i="1"/>
  <c r="BO29" i="1"/>
  <c r="BS42" i="1"/>
  <c r="CA42" i="1"/>
  <c r="BS34" i="1"/>
  <c r="CA34" i="1"/>
  <c r="CA35" i="1"/>
  <c r="BS35" i="1"/>
  <c r="BS29" i="1"/>
  <c r="CA29" i="1"/>
  <c r="BS33" i="1"/>
  <c r="CA33" i="1"/>
  <c r="BS31" i="1"/>
  <c r="CA31" i="1"/>
  <c r="BS30" i="1"/>
  <c r="CA30" i="1"/>
  <c r="BS32" i="1"/>
  <c r="CA32" i="1"/>
  <c r="BS41" i="1"/>
  <c r="CA41" i="1"/>
  <c r="BS39" i="1"/>
  <c r="CA39" i="1"/>
  <c r="BS37" i="1"/>
  <c r="CA37" i="1"/>
  <c r="BS36" i="1"/>
  <c r="CA36" i="1"/>
  <c r="BS40" i="1"/>
  <c r="CA40" i="1"/>
  <c r="CA38" i="1"/>
  <c r="BS38" i="1"/>
  <c r="CA28" i="1"/>
  <c r="BS28" i="1"/>
  <c r="BO28" i="1"/>
  <c r="BK28" i="1"/>
  <c r="AY28" i="1" s="1"/>
  <c r="AU28" i="1" s="1"/>
  <c r="E26" i="4"/>
  <c r="F24" i="4"/>
  <c r="F25" i="4" s="1"/>
  <c r="BC35" i="1" l="1"/>
  <c r="BC30" i="1"/>
  <c r="AY29" i="1"/>
  <c r="BC42" i="1"/>
  <c r="BC28" i="1"/>
  <c r="BC34" i="1"/>
  <c r="BC29" i="1"/>
  <c r="BC31" i="1"/>
  <c r="BC32" i="1"/>
  <c r="BC33" i="1"/>
  <c r="BC37" i="1"/>
  <c r="BC40" i="1"/>
  <c r="BC39" i="1"/>
  <c r="BC36" i="1"/>
  <c r="BC38" i="1"/>
  <c r="BC41" i="1"/>
  <c r="G24" i="4"/>
  <c r="G25" i="4" s="1"/>
  <c r="F26" i="4"/>
  <c r="AU29" i="1" l="1"/>
  <c r="AJ29" i="1" s="1"/>
  <c r="AH28" i="1"/>
  <c r="H24" i="4"/>
  <c r="H25" i="4" s="1"/>
  <c r="G26" i="4"/>
  <c r="AI29" i="1" l="1"/>
  <c r="AG29" i="1"/>
  <c r="AH29" i="1"/>
  <c r="AJ28" i="1"/>
  <c r="AI28" i="1"/>
  <c r="AG28" i="1"/>
  <c r="H26" i="4"/>
  <c r="I24" i="4"/>
  <c r="I25" i="4" s="1"/>
  <c r="C30" i="1" l="1"/>
  <c r="AL29" i="1"/>
  <c r="W45" i="1"/>
  <c r="Q44" i="1"/>
  <c r="BW44" i="1" s="1"/>
  <c r="J36" i="1"/>
  <c r="BO31" i="1"/>
  <c r="AL28" i="1"/>
  <c r="BK30" i="1"/>
  <c r="W44" i="1"/>
  <c r="Q43" i="1"/>
  <c r="BW43" i="1" s="1"/>
  <c r="J35" i="1"/>
  <c r="J24" i="4"/>
  <c r="J25" i="4" s="1"/>
  <c r="I26" i="4"/>
  <c r="BS44" i="1" l="1"/>
  <c r="BC44" i="1" s="1"/>
  <c r="CA44" i="1"/>
  <c r="BK31" i="1"/>
  <c r="BG31" i="1"/>
  <c r="CA43" i="1"/>
  <c r="BS43" i="1"/>
  <c r="BC43" i="1" s="1"/>
  <c r="BG30" i="1"/>
  <c r="BO30" i="1"/>
  <c r="J26" i="4"/>
  <c r="K24" i="4"/>
  <c r="K25" i="4" s="1"/>
  <c r="AY31" i="1" l="1"/>
  <c r="AU31" i="1" s="1"/>
  <c r="AJ31" i="1" s="1"/>
  <c r="AY30" i="1"/>
  <c r="AU30" i="1" s="1"/>
  <c r="AH30" i="1" s="1"/>
  <c r="L24" i="4"/>
  <c r="L25" i="4" s="1"/>
  <c r="K26" i="4"/>
  <c r="AG31" i="1" l="1"/>
  <c r="AH31" i="1"/>
  <c r="AI31" i="1"/>
  <c r="AI30" i="1"/>
  <c r="AJ30" i="1"/>
  <c r="AG30" i="1"/>
  <c r="M24" i="4"/>
  <c r="M25" i="4" s="1"/>
  <c r="L26" i="4"/>
  <c r="C33" i="1" l="1"/>
  <c r="Q46" i="1"/>
  <c r="BW46" i="1" s="1"/>
  <c r="J38" i="1"/>
  <c r="W47" i="1"/>
  <c r="AL31" i="1"/>
  <c r="W46" i="1"/>
  <c r="AL30" i="1"/>
  <c r="J37" i="1"/>
  <c r="Q45" i="1"/>
  <c r="BW45" i="1" s="1"/>
  <c r="C32" i="1"/>
  <c r="BG32" i="1" s="1"/>
  <c r="BS46" i="1"/>
  <c r="CA46" i="1"/>
  <c r="BK33" i="1"/>
  <c r="BO33" i="1"/>
  <c r="BG33" i="1"/>
  <c r="N24" i="4"/>
  <c r="N25" i="4" s="1"/>
  <c r="M26" i="4"/>
  <c r="BO32" i="1" l="1"/>
  <c r="BK32" i="1"/>
  <c r="BS45" i="1"/>
  <c r="CA45" i="1"/>
  <c r="BC46" i="1"/>
  <c r="AY33" i="1"/>
  <c r="AU33" i="1" s="1"/>
  <c r="AG33" i="1" s="1"/>
  <c r="O24" i="4"/>
  <c r="O25" i="4" s="1"/>
  <c r="N26" i="4"/>
  <c r="AY32" i="1" l="1"/>
  <c r="AU32" i="1" s="1"/>
  <c r="AH32" i="1" s="1"/>
  <c r="BC45" i="1"/>
  <c r="AH33" i="1"/>
  <c r="AJ33" i="1"/>
  <c r="AI33" i="1"/>
  <c r="P24" i="4"/>
  <c r="P25" i="4" s="1"/>
  <c r="O26" i="4"/>
  <c r="AG32" i="1" l="1"/>
  <c r="AJ32" i="1"/>
  <c r="AI32" i="1"/>
  <c r="AL33" i="1"/>
  <c r="W49" i="1"/>
  <c r="J40" i="1"/>
  <c r="C35" i="1"/>
  <c r="BK35" i="1" s="1"/>
  <c r="Q48" i="1"/>
  <c r="BW48" i="1" s="1"/>
  <c r="Q24" i="4"/>
  <c r="Q25" i="4" s="1"/>
  <c r="P26" i="4"/>
  <c r="W48" i="1" l="1"/>
  <c r="J39" i="1"/>
  <c r="C34" i="1"/>
  <c r="BK34" i="1" s="1"/>
  <c r="Q47" i="1"/>
  <c r="BW47" i="1" s="1"/>
  <c r="AL32" i="1"/>
  <c r="BO35" i="1"/>
  <c r="BG35" i="1"/>
  <c r="BS48" i="1"/>
  <c r="CA48" i="1"/>
  <c r="R24" i="4"/>
  <c r="R25" i="4" s="1"/>
  <c r="Q26" i="4"/>
  <c r="BO34" i="1" l="1"/>
  <c r="BG34" i="1"/>
  <c r="AY34" i="1" s="1"/>
  <c r="AU34" i="1" s="1"/>
  <c r="AG34" i="1" s="1"/>
  <c r="CA47" i="1"/>
  <c r="BS47" i="1"/>
  <c r="AY35" i="1"/>
  <c r="AU35" i="1" s="1"/>
  <c r="AH35" i="1" s="1"/>
  <c r="BC48" i="1"/>
  <c r="S24" i="4"/>
  <c r="S25" i="4" s="1"/>
  <c r="R26" i="4"/>
  <c r="BC47" i="1" l="1"/>
  <c r="AH34" i="1"/>
  <c r="AI34" i="1"/>
  <c r="AJ34" i="1"/>
  <c r="AI35" i="1"/>
  <c r="AJ35" i="1"/>
  <c r="AG35" i="1"/>
  <c r="T24" i="4"/>
  <c r="T25" i="4" s="1"/>
  <c r="S26" i="4"/>
  <c r="W50" i="1" l="1"/>
  <c r="Q49" i="1"/>
  <c r="BW49" i="1" s="1"/>
  <c r="C36" i="1"/>
  <c r="BK36" i="1" s="1"/>
  <c r="AL34" i="1"/>
  <c r="J41" i="1"/>
  <c r="J42" i="1"/>
  <c r="C37" i="1"/>
  <c r="BG37" i="1" s="1"/>
  <c r="Q50" i="1"/>
  <c r="BW50" i="1" s="1"/>
  <c r="W51" i="1"/>
  <c r="AL35" i="1"/>
  <c r="U24" i="4"/>
  <c r="U25" i="4" s="1"/>
  <c r="T26" i="4"/>
  <c r="BG36" i="1" l="1"/>
  <c r="CA49" i="1"/>
  <c r="BO36" i="1"/>
  <c r="BS49" i="1"/>
  <c r="BC49" i="1" s="1"/>
  <c r="BK37" i="1"/>
  <c r="BO37" i="1"/>
  <c r="BS50" i="1"/>
  <c r="CA50" i="1"/>
  <c r="U26" i="4"/>
  <c r="V24" i="4"/>
  <c r="V25" i="4" s="1"/>
  <c r="AY36" i="1" l="1"/>
  <c r="AU36" i="1" s="1"/>
  <c r="AG36" i="1" s="1"/>
  <c r="AY37" i="1"/>
  <c r="AU37" i="1" s="1"/>
  <c r="AH37" i="1" s="1"/>
  <c r="BC50" i="1"/>
  <c r="W24" i="4"/>
  <c r="W25" i="4" s="1"/>
  <c r="V26" i="4"/>
  <c r="AJ37" i="1" l="1"/>
  <c r="AG37" i="1"/>
  <c r="AI37" i="1"/>
  <c r="AJ36" i="1"/>
  <c r="AH36" i="1"/>
  <c r="AI36" i="1"/>
  <c r="X24" i="4"/>
  <c r="X25" i="4" s="1"/>
  <c r="W26" i="4"/>
  <c r="Q52" i="1" l="1"/>
  <c r="BW52" i="1" s="1"/>
  <c r="C39" i="1"/>
  <c r="W53" i="1"/>
  <c r="J44" i="1"/>
  <c r="AL37" i="1"/>
  <c r="AL36" i="1"/>
  <c r="J43" i="1"/>
  <c r="C38" i="1"/>
  <c r="BK38" i="1" s="1"/>
  <c r="Q51" i="1"/>
  <c r="BW51" i="1" s="1"/>
  <c r="W52" i="1"/>
  <c r="Y24" i="4"/>
  <c r="Y25" i="4" s="1"/>
  <c r="X26" i="4"/>
  <c r="BS52" i="1" l="1"/>
  <c r="CA52" i="1"/>
  <c r="BG39" i="1"/>
  <c r="BK39" i="1"/>
  <c r="BO39" i="1"/>
  <c r="BG38" i="1"/>
  <c r="BO38" i="1"/>
  <c r="BS51" i="1"/>
  <c r="CA51" i="1"/>
  <c r="Z24" i="4"/>
  <c r="Z25" i="4" s="1"/>
  <c r="Y26" i="4"/>
  <c r="BC52" i="1" l="1"/>
  <c r="AY39" i="1"/>
  <c r="AU39" i="1" s="1"/>
  <c r="AY38" i="1"/>
  <c r="AU38" i="1" s="1"/>
  <c r="BC51" i="1"/>
  <c r="AA24" i="4"/>
  <c r="AA25" i="4" s="1"/>
  <c r="Z26" i="4"/>
  <c r="AI39" i="1" l="1"/>
  <c r="AH39" i="1"/>
  <c r="AJ39" i="1"/>
  <c r="AG39" i="1"/>
  <c r="AJ38" i="1"/>
  <c r="AA26" i="4"/>
  <c r="AB24" i="4"/>
  <c r="AB25" i="4" s="1"/>
  <c r="J46" i="1" l="1"/>
  <c r="C41" i="1"/>
  <c r="W55" i="1"/>
  <c r="Q54" i="1"/>
  <c r="BW54" i="1" s="1"/>
  <c r="AL39" i="1"/>
  <c r="AH38" i="1"/>
  <c r="AI38" i="1"/>
  <c r="AG38" i="1"/>
  <c r="AC24" i="4"/>
  <c r="AC25" i="4" s="1"/>
  <c r="AB26" i="4"/>
  <c r="BS54" i="1" l="1"/>
  <c r="CA54" i="1"/>
  <c r="BG41" i="1"/>
  <c r="BO41" i="1"/>
  <c r="BK41" i="1"/>
  <c r="AL38" i="1"/>
  <c r="C40" i="1"/>
  <c r="BO40" i="1" s="1"/>
  <c r="W54" i="1"/>
  <c r="Q53" i="1"/>
  <c r="BW53" i="1" s="1"/>
  <c r="J45" i="1"/>
  <c r="AD24" i="4"/>
  <c r="AD25" i="4" s="1"/>
  <c r="AC26" i="4"/>
  <c r="AY41" i="1" l="1"/>
  <c r="AU41" i="1" s="1"/>
  <c r="AG41" i="1" s="1"/>
  <c r="BC54" i="1"/>
  <c r="BK40" i="1"/>
  <c r="BG40" i="1"/>
  <c r="CA53" i="1"/>
  <c r="BS53" i="1"/>
  <c r="AE24" i="4"/>
  <c r="AE25" i="4" s="1"/>
  <c r="AD26" i="4"/>
  <c r="AI41" i="1" l="1"/>
  <c r="AJ41" i="1"/>
  <c r="AH41" i="1"/>
  <c r="AY40" i="1"/>
  <c r="AU40" i="1" s="1"/>
  <c r="AG40" i="1" s="1"/>
  <c r="BC53" i="1"/>
  <c r="AF24" i="4"/>
  <c r="AF25" i="4" s="1"/>
  <c r="AE26" i="4"/>
  <c r="C43" i="1" l="1"/>
  <c r="BO43" i="1" s="1"/>
  <c r="Q56" i="1"/>
  <c r="BW56" i="1" s="1"/>
  <c r="W57" i="1"/>
  <c r="AL41" i="1"/>
  <c r="J48" i="1"/>
  <c r="AI40" i="1"/>
  <c r="AH40" i="1"/>
  <c r="AJ40" i="1"/>
  <c r="AF26" i="4"/>
  <c r="AG24" i="4"/>
  <c r="AG25" i="4" s="1"/>
  <c r="BS56" i="1" l="1"/>
  <c r="BG43" i="1"/>
  <c r="CA56" i="1"/>
  <c r="BK43" i="1"/>
  <c r="AL40" i="1"/>
  <c r="C42" i="1"/>
  <c r="BK42" i="1" s="1"/>
  <c r="Q55" i="1"/>
  <c r="BW55" i="1" s="1"/>
  <c r="W56" i="1"/>
  <c r="J47" i="1"/>
  <c r="AH24" i="4"/>
  <c r="AH25" i="4" s="1"/>
  <c r="AG26" i="4"/>
  <c r="AY43" i="1" l="1"/>
  <c r="AU43" i="1" s="1"/>
  <c r="AI43" i="1" s="1"/>
  <c r="BC56" i="1"/>
  <c r="BO42" i="1"/>
  <c r="BG42" i="1"/>
  <c r="BS55" i="1"/>
  <c r="CA55" i="1"/>
  <c r="AI24" i="4"/>
  <c r="AI25" i="4" s="1"/>
  <c r="AH26" i="4"/>
  <c r="AG43" i="1" l="1"/>
  <c r="Q58" i="1" s="1"/>
  <c r="BW58" i="1" s="1"/>
  <c r="AH43" i="1"/>
  <c r="AJ43" i="1"/>
  <c r="AL43" i="1" s="1"/>
  <c r="AY42" i="1"/>
  <c r="AU42" i="1" s="1"/>
  <c r="AJ42" i="1" s="1"/>
  <c r="J50" i="1"/>
  <c r="C45" i="1"/>
  <c r="BK45" i="1" s="1"/>
  <c r="W59" i="1"/>
  <c r="BC55" i="1"/>
  <c r="AJ24" i="4"/>
  <c r="AJ25" i="4" s="1"/>
  <c r="AI26" i="4"/>
  <c r="BS58" i="1" l="1"/>
  <c r="CA58" i="1"/>
  <c r="BO45" i="1"/>
  <c r="BG45" i="1"/>
  <c r="AH42" i="1"/>
  <c r="AG42" i="1"/>
  <c r="AI42" i="1"/>
  <c r="AK24" i="4"/>
  <c r="AK25" i="4" s="1"/>
  <c r="AJ26" i="4"/>
  <c r="BC58" i="1" l="1"/>
  <c r="AY45" i="1"/>
  <c r="AU45" i="1" s="1"/>
  <c r="AH45" i="1" s="1"/>
  <c r="AL42" i="1"/>
  <c r="J49" i="1"/>
  <c r="C44" i="1"/>
  <c r="BK44" i="1" s="1"/>
  <c r="Q57" i="1"/>
  <c r="BW57" i="1" s="1"/>
  <c r="W58" i="1"/>
  <c r="AK26" i="4"/>
  <c r="AL24" i="4"/>
  <c r="AL25" i="4" s="1"/>
  <c r="BG44" i="1" l="1"/>
  <c r="BO44" i="1"/>
  <c r="AG45" i="1"/>
  <c r="AI45" i="1"/>
  <c r="AJ45" i="1"/>
  <c r="BS57" i="1"/>
  <c r="CA57" i="1"/>
  <c r="AM24" i="4"/>
  <c r="AM25" i="4" s="1"/>
  <c r="AL26" i="4"/>
  <c r="AY44" i="1" l="1"/>
  <c r="AU44" i="1" s="1"/>
  <c r="AG44" i="1" s="1"/>
  <c r="J52" i="1"/>
  <c r="C47" i="1"/>
  <c r="BK47" i="1" s="1"/>
  <c r="AL45" i="1"/>
  <c r="Q60" i="1"/>
  <c r="BW60" i="1" s="1"/>
  <c r="W61" i="1"/>
  <c r="BC57" i="1"/>
  <c r="AM26" i="4"/>
  <c r="AN24" i="4"/>
  <c r="AN25" i="4" s="1"/>
  <c r="BO47" i="1" l="1"/>
  <c r="BG47" i="1"/>
  <c r="CA60" i="1"/>
  <c r="BS60" i="1"/>
  <c r="BC60" i="1" s="1"/>
  <c r="AJ44" i="1"/>
  <c r="AH44" i="1"/>
  <c r="AI44" i="1"/>
  <c r="AN26" i="4"/>
  <c r="AO24" i="4"/>
  <c r="AO25" i="4" s="1"/>
  <c r="AY47" i="1" l="1"/>
  <c r="AU47" i="1" s="1"/>
  <c r="AH47" i="1" s="1"/>
  <c r="AL44" i="1"/>
  <c r="J51" i="1"/>
  <c r="C46" i="1"/>
  <c r="BK46" i="1" s="1"/>
  <c r="W60" i="1"/>
  <c r="Q59" i="1"/>
  <c r="BW59" i="1" s="1"/>
  <c r="AP24" i="4"/>
  <c r="AP25" i="4" s="1"/>
  <c r="AO26" i="4"/>
  <c r="AJ47" i="1" l="1"/>
  <c r="AG47" i="1"/>
  <c r="AI47" i="1"/>
  <c r="CA59" i="1"/>
  <c r="BG46" i="1"/>
  <c r="BO46" i="1"/>
  <c r="BS59" i="1"/>
  <c r="AQ24" i="4"/>
  <c r="AQ25" i="4" s="1"/>
  <c r="AP26" i="4"/>
  <c r="Q62" i="1" l="1"/>
  <c r="W63" i="1"/>
  <c r="J54" i="1"/>
  <c r="BW62" i="1"/>
  <c r="CA62" i="1"/>
  <c r="BS62" i="1"/>
  <c r="BC62" i="1" s="1"/>
  <c r="C49" i="1"/>
  <c r="AL47" i="1"/>
  <c r="AY46" i="1"/>
  <c r="AU46" i="1" s="1"/>
  <c r="AI46" i="1" s="1"/>
  <c r="BC59" i="1"/>
  <c r="AR24" i="4"/>
  <c r="AR25" i="4" s="1"/>
  <c r="AQ26" i="4"/>
  <c r="BO49" i="1" l="1"/>
  <c r="BG49" i="1"/>
  <c r="BK49" i="1"/>
  <c r="AJ46" i="1"/>
  <c r="AG46" i="1"/>
  <c r="AH46" i="1"/>
  <c r="AR26" i="4"/>
  <c r="AS24" i="4"/>
  <c r="AS25" i="4" s="1"/>
  <c r="AY49" i="1" l="1"/>
  <c r="AU49" i="1" s="1"/>
  <c r="AJ49" i="1" s="1"/>
  <c r="Q61" i="1"/>
  <c r="BW61" i="1" s="1"/>
  <c r="J53" i="1"/>
  <c r="C48" i="1"/>
  <c r="BO48" i="1" s="1"/>
  <c r="AL46" i="1"/>
  <c r="W62" i="1"/>
  <c r="AS26" i="4"/>
  <c r="AT24" i="4"/>
  <c r="AT25" i="4" s="1"/>
  <c r="AG49" i="1" l="1"/>
  <c r="AH49" i="1"/>
  <c r="AI49" i="1"/>
  <c r="CA61" i="1"/>
  <c r="BK48" i="1"/>
  <c r="BS61" i="1"/>
  <c r="BC61" i="1" s="1"/>
  <c r="BG48" i="1"/>
  <c r="AU24" i="4"/>
  <c r="AU25" i="4" s="1"/>
  <c r="AT26" i="4"/>
  <c r="AL49" i="1" l="1"/>
  <c r="Q64" i="1"/>
  <c r="J56" i="1"/>
  <c r="W65" i="1"/>
  <c r="C51" i="1"/>
  <c r="AY48" i="1"/>
  <c r="AU48" i="1" s="1"/>
  <c r="AG48" i="1" s="1"/>
  <c r="AV24" i="4"/>
  <c r="AV25" i="4" s="1"/>
  <c r="AU26" i="4"/>
  <c r="BW64" i="1" l="1"/>
  <c r="BS64" i="1"/>
  <c r="CA64" i="1"/>
  <c r="BO51" i="1"/>
  <c r="BG51" i="1"/>
  <c r="BK51" i="1"/>
  <c r="AJ48" i="1"/>
  <c r="AI48" i="1"/>
  <c r="AH48" i="1"/>
  <c r="AV26" i="4"/>
  <c r="AW24" i="4"/>
  <c r="AW25" i="4" s="1"/>
  <c r="BC64" i="1" l="1"/>
  <c r="Q63" i="1"/>
  <c r="BW63" i="1" s="1"/>
  <c r="AY51" i="1"/>
  <c r="AU51" i="1" s="1"/>
  <c r="AL48" i="1"/>
  <c r="W64" i="1"/>
  <c r="C50" i="1"/>
  <c r="BO50" i="1" s="1"/>
  <c r="J55" i="1"/>
  <c r="AW26" i="4"/>
  <c r="AX24" i="4"/>
  <c r="AX25" i="4" s="1"/>
  <c r="CA63" i="1" l="1"/>
  <c r="BS63" i="1"/>
  <c r="BC63" i="1" s="1"/>
  <c r="BG50" i="1"/>
  <c r="BK50" i="1"/>
  <c r="AI51" i="1"/>
  <c r="AJ51" i="1"/>
  <c r="AG51" i="1"/>
  <c r="AH51" i="1"/>
  <c r="AY24" i="4"/>
  <c r="AY25" i="4" s="1"/>
  <c r="AX26" i="4"/>
  <c r="AY50" i="1" l="1"/>
  <c r="AU50" i="1" s="1"/>
  <c r="AI50" i="1" s="1"/>
  <c r="Q66" i="1"/>
  <c r="AL51" i="1"/>
  <c r="W67" i="1"/>
  <c r="C53" i="1"/>
  <c r="J58" i="1"/>
  <c r="AY26" i="4"/>
  <c r="AZ24" i="4"/>
  <c r="AZ25" i="4" s="1"/>
  <c r="AH50" i="1" l="1"/>
  <c r="AJ50" i="1"/>
  <c r="AG50" i="1"/>
  <c r="BG53" i="1"/>
  <c r="BO53" i="1"/>
  <c r="BK53" i="1"/>
  <c r="BW66" i="1"/>
  <c r="BS66" i="1"/>
  <c r="CA66" i="1"/>
  <c r="BA24" i="4"/>
  <c r="BA25" i="4" s="1"/>
  <c r="AZ26" i="4"/>
  <c r="C52" i="1" l="1"/>
  <c r="BK52" i="1" s="1"/>
  <c r="W66" i="1"/>
  <c r="J57" i="1"/>
  <c r="Q65" i="1"/>
  <c r="BW65" i="1" s="1"/>
  <c r="AL50" i="1"/>
  <c r="BC66" i="1"/>
  <c r="AY53" i="1"/>
  <c r="AU53" i="1" s="1"/>
  <c r="BB24" i="4"/>
  <c r="BB25" i="4" s="1"/>
  <c r="BA26" i="4"/>
  <c r="BG52" i="1" l="1"/>
  <c r="AY52" i="1" s="1"/>
  <c r="AU52" i="1" s="1"/>
  <c r="AJ52" i="1" s="1"/>
  <c r="BO52" i="1"/>
  <c r="BS65" i="1"/>
  <c r="CA65" i="1"/>
  <c r="AH53" i="1"/>
  <c r="AJ53" i="1"/>
  <c r="AI53" i="1"/>
  <c r="AG53" i="1"/>
  <c r="BB26" i="4"/>
  <c r="BC24" i="4"/>
  <c r="BC25" i="4" s="1"/>
  <c r="BC65" i="1" l="1"/>
  <c r="Q68" i="1"/>
  <c r="W69" i="1"/>
  <c r="J60" i="1"/>
  <c r="AL53" i="1"/>
  <c r="C55" i="1"/>
  <c r="AI52" i="1"/>
  <c r="AH52" i="1"/>
  <c r="AG52" i="1"/>
  <c r="BD24" i="4"/>
  <c r="BD25" i="4" s="1"/>
  <c r="BC26" i="4"/>
  <c r="BG55" i="1" l="1"/>
  <c r="BK55" i="1"/>
  <c r="BO55" i="1"/>
  <c r="BW68" i="1"/>
  <c r="BS68" i="1"/>
  <c r="CA68" i="1"/>
  <c r="AL52" i="1"/>
  <c r="J59" i="1"/>
  <c r="Q67" i="1"/>
  <c r="BW67" i="1" s="1"/>
  <c r="C54" i="1"/>
  <c r="BK54" i="1" s="1"/>
  <c r="W68" i="1"/>
  <c r="BE24" i="4"/>
  <c r="BE25" i="4" s="1"/>
  <c r="BD26" i="4"/>
  <c r="AY55" i="1" l="1"/>
  <c r="AU55" i="1" s="1"/>
  <c r="AG55" i="1" s="1"/>
  <c r="BC68" i="1"/>
  <c r="BS67" i="1"/>
  <c r="CA67" i="1"/>
  <c r="BO54" i="1"/>
  <c r="BG54" i="1"/>
  <c r="BF24" i="4"/>
  <c r="BF25" i="4" s="1"/>
  <c r="BE26" i="4"/>
  <c r="AI55" i="1" l="1"/>
  <c r="AH55" i="1"/>
  <c r="AJ55" i="1"/>
  <c r="BC67" i="1"/>
  <c r="AY54" i="1"/>
  <c r="AU54" i="1" s="1"/>
  <c r="AH54" i="1" s="1"/>
  <c r="BG24" i="4"/>
  <c r="BF26" i="4"/>
  <c r="BG25" i="4" s="1"/>
  <c r="BH25" i="4" s="1"/>
  <c r="BI25" i="4" s="1"/>
  <c r="BJ25" i="4" s="1"/>
  <c r="BK25" i="4" s="1"/>
  <c r="BL25" i="4" s="1"/>
  <c r="BM25" i="4" s="1"/>
  <c r="BN25" i="4" s="1"/>
  <c r="Q70" i="1" l="1"/>
  <c r="BW70" i="1" s="1"/>
  <c r="C57" i="1"/>
  <c r="BG57" i="1" s="1"/>
  <c r="AL55" i="1"/>
  <c r="J62" i="1"/>
  <c r="W71" i="1"/>
  <c r="BK57" i="1"/>
  <c r="AI54" i="1"/>
  <c r="AJ54" i="1"/>
  <c r="AG54" i="1"/>
  <c r="BH24" i="4"/>
  <c r="BG26" i="4"/>
  <c r="BS70" i="1" l="1"/>
  <c r="BC70" i="1" s="1"/>
  <c r="CA70" i="1"/>
  <c r="BO57" i="1"/>
  <c r="AY57" i="1" s="1"/>
  <c r="AU57" i="1" s="1"/>
  <c r="AL54" i="1"/>
  <c r="J61" i="1"/>
  <c r="C56" i="1"/>
  <c r="W70" i="1"/>
  <c r="Q69" i="1"/>
  <c r="BW69" i="1" s="1"/>
  <c r="BI24" i="4"/>
  <c r="BH26" i="4"/>
  <c r="AJ57" i="1" l="1"/>
  <c r="AG57" i="1"/>
  <c r="AI57" i="1"/>
  <c r="AH57" i="1"/>
  <c r="BG56" i="1"/>
  <c r="BO56" i="1"/>
  <c r="BK56" i="1"/>
  <c r="CA69" i="1"/>
  <c r="BS69" i="1"/>
  <c r="BI26" i="4"/>
  <c r="BJ24" i="4"/>
  <c r="C59" i="1" l="1"/>
  <c r="BK59" i="1" s="1"/>
  <c r="Q72" i="1"/>
  <c r="AL57" i="1"/>
  <c r="J64" i="1"/>
  <c r="W73" i="1"/>
  <c r="BC69" i="1"/>
  <c r="AY56" i="1"/>
  <c r="AU56" i="1" s="1"/>
  <c r="BK24" i="4"/>
  <c r="BJ26" i="4"/>
  <c r="BG59" i="1" l="1"/>
  <c r="BO59" i="1"/>
  <c r="BW72" i="1"/>
  <c r="CA72" i="1"/>
  <c r="BS72" i="1"/>
  <c r="BC72" i="1" s="1"/>
  <c r="AH56" i="1"/>
  <c r="AG56" i="1"/>
  <c r="AI56" i="1"/>
  <c r="AJ56" i="1"/>
  <c r="BL24" i="4"/>
  <c r="BK26" i="4"/>
  <c r="AY59" i="1" l="1"/>
  <c r="AU59" i="1" s="1"/>
  <c r="AJ59" i="1" s="1"/>
  <c r="AL56" i="1"/>
  <c r="C58" i="1"/>
  <c r="J63" i="1"/>
  <c r="W72" i="1"/>
  <c r="Q71" i="1"/>
  <c r="BW71" i="1" s="1"/>
  <c r="BL26" i="4"/>
  <c r="BM24" i="4"/>
  <c r="AH59" i="1" l="1"/>
  <c r="AI59" i="1"/>
  <c r="AG59" i="1"/>
  <c r="BS71" i="1"/>
  <c r="CA71" i="1"/>
  <c r="BO58" i="1"/>
  <c r="BK58" i="1"/>
  <c r="BG58" i="1"/>
  <c r="BM26" i="4"/>
  <c r="BN24" i="4"/>
  <c r="BN26" i="4" s="1"/>
  <c r="C29" i="4" s="1"/>
  <c r="C61" i="1" l="1"/>
  <c r="J66" i="1"/>
  <c r="Q74" i="1"/>
  <c r="BW74" i="1" s="1"/>
  <c r="W75" i="1"/>
  <c r="AL59" i="1"/>
  <c r="BO61" i="1"/>
  <c r="BK61" i="1"/>
  <c r="BG61" i="1"/>
  <c r="AY58" i="1"/>
  <c r="AU58" i="1" s="1"/>
  <c r="AH58" i="1" s="1"/>
  <c r="BC71" i="1"/>
  <c r="CA74" i="1" l="1"/>
  <c r="AY61" i="1"/>
  <c r="AU61" i="1" s="1"/>
  <c r="AG61" i="1" s="1"/>
  <c r="BS74" i="1"/>
  <c r="BC74" i="1" s="1"/>
  <c r="AJ58" i="1"/>
  <c r="AG58" i="1"/>
  <c r="AI58" i="1"/>
  <c r="AI61" i="1" l="1"/>
  <c r="AH61" i="1"/>
  <c r="AL61" i="1" s="1"/>
  <c r="AJ61" i="1"/>
  <c r="C63" i="1" s="1"/>
  <c r="AL58" i="1"/>
  <c r="W74" i="1"/>
  <c r="C60" i="1"/>
  <c r="Q73" i="1"/>
  <c r="BW73" i="1" s="1"/>
  <c r="J65" i="1"/>
  <c r="J68" i="1" l="1"/>
  <c r="BG63" i="1"/>
  <c r="BK63" i="1"/>
  <c r="BO63" i="1"/>
  <c r="BK60" i="1"/>
  <c r="BO60" i="1"/>
  <c r="BG60" i="1"/>
  <c r="CA73" i="1"/>
  <c r="BS73" i="1"/>
  <c r="AY63" i="1" l="1"/>
  <c r="AU63" i="1" s="1"/>
  <c r="AY60" i="1"/>
  <c r="AU60" i="1" s="1"/>
  <c r="AJ60" i="1" s="1"/>
  <c r="BC73" i="1"/>
  <c r="AH63" i="1" l="1"/>
  <c r="AG63" i="1"/>
  <c r="AJ63" i="1"/>
  <c r="AI63" i="1"/>
  <c r="AI60" i="1"/>
  <c r="AH60" i="1"/>
  <c r="AG60" i="1"/>
  <c r="J70" i="1" l="1"/>
  <c r="C65" i="1"/>
  <c r="AL63" i="1"/>
  <c r="AL60" i="1"/>
  <c r="Q75" i="1"/>
  <c r="BW75" i="1" s="1"/>
  <c r="C62" i="1"/>
  <c r="J67" i="1"/>
  <c r="BG65" i="1" l="1"/>
  <c r="BO65" i="1"/>
  <c r="BK65" i="1"/>
  <c r="BG62" i="1"/>
  <c r="BK62" i="1"/>
  <c r="BO62" i="1"/>
  <c r="CA75" i="1"/>
  <c r="BS75" i="1"/>
  <c r="AY65" i="1" l="1"/>
  <c r="AU65" i="1" s="1"/>
  <c r="BC75" i="1"/>
  <c r="AY62" i="1"/>
  <c r="AU62" i="1" s="1"/>
  <c r="AI65" i="1" l="1"/>
  <c r="AG65" i="1"/>
  <c r="AH65" i="1"/>
  <c r="AJ65" i="1"/>
  <c r="AJ62" i="1"/>
  <c r="AL65" i="1" l="1"/>
  <c r="J72" i="1"/>
  <c r="C67" i="1"/>
  <c r="AI62" i="1"/>
  <c r="AH62" i="1"/>
  <c r="AG62" i="1"/>
  <c r="BG67" i="1" l="1"/>
  <c r="BK67" i="1"/>
  <c r="BO67" i="1"/>
  <c r="AL62" i="1"/>
  <c r="J69" i="1"/>
  <c r="C64" i="1"/>
  <c r="BO64" i="1" s="1"/>
  <c r="AY67" i="1" l="1"/>
  <c r="AU67" i="1" s="1"/>
  <c r="BG64" i="1"/>
  <c r="BK64" i="1"/>
  <c r="AH67" i="1" l="1"/>
  <c r="AJ67" i="1"/>
  <c r="AG67" i="1"/>
  <c r="AI67" i="1"/>
  <c r="AY64" i="1"/>
  <c r="AU64" i="1" s="1"/>
  <c r="AH64" i="1" s="1"/>
  <c r="J74" i="1" l="1"/>
  <c r="C69" i="1"/>
  <c r="AL67" i="1"/>
  <c r="AJ64" i="1"/>
  <c r="AI64" i="1"/>
  <c r="AG64" i="1"/>
  <c r="BG69" i="1" l="1"/>
  <c r="BK69" i="1"/>
  <c r="BO69" i="1"/>
  <c r="AL64" i="1"/>
  <c r="J71" i="1"/>
  <c r="C66" i="1"/>
  <c r="BO66" i="1" s="1"/>
  <c r="AY69" i="1" l="1"/>
  <c r="AU69" i="1" s="1"/>
  <c r="BG66" i="1"/>
  <c r="BK66" i="1"/>
  <c r="AG69" i="1" l="1"/>
  <c r="AH69" i="1"/>
  <c r="AI69" i="1"/>
  <c r="AJ69" i="1"/>
  <c r="AY66" i="1"/>
  <c r="AU66" i="1" s="1"/>
  <c r="AJ66" i="1" s="1"/>
  <c r="AL69" i="1" l="1"/>
  <c r="C71" i="1"/>
  <c r="AG66" i="1"/>
  <c r="AI66" i="1"/>
  <c r="AH66" i="1"/>
  <c r="BG71" i="1" l="1"/>
  <c r="BK71" i="1"/>
  <c r="BO71" i="1"/>
  <c r="AL66" i="1"/>
  <c r="J73" i="1"/>
  <c r="C68" i="1"/>
  <c r="BK68" i="1" s="1"/>
  <c r="AY71" i="1" l="1"/>
  <c r="AU71" i="1" s="1"/>
  <c r="BO68" i="1"/>
  <c r="BG68" i="1"/>
  <c r="AG71" i="1" l="1"/>
  <c r="AI71" i="1"/>
  <c r="AH71" i="1"/>
  <c r="AJ71" i="1"/>
  <c r="AY68" i="1"/>
  <c r="AU68" i="1" s="1"/>
  <c r="AH68" i="1" s="1"/>
  <c r="AL71" i="1" l="1"/>
  <c r="C73" i="1"/>
  <c r="AJ68" i="1"/>
  <c r="AI68" i="1"/>
  <c r="AG68" i="1"/>
  <c r="BG73" i="1" l="1"/>
  <c r="BO73" i="1"/>
  <c r="BK73" i="1"/>
  <c r="AL68" i="1"/>
  <c r="J75" i="1"/>
  <c r="C70" i="1"/>
  <c r="BG70" i="1" s="1"/>
  <c r="BO70" i="1" l="1"/>
  <c r="BK70" i="1"/>
  <c r="AY73" i="1"/>
  <c r="AU73" i="1" s="1"/>
  <c r="AY70" i="1" l="1"/>
  <c r="AU70" i="1" s="1"/>
  <c r="AJ70" i="1" s="1"/>
  <c r="AI73" i="1"/>
  <c r="AJ73" i="1"/>
  <c r="AG73" i="1"/>
  <c r="AH73" i="1"/>
  <c r="AH70" i="1" l="1"/>
  <c r="AI70" i="1"/>
  <c r="AG70" i="1"/>
  <c r="AL70" i="1" s="1"/>
  <c r="C75" i="1"/>
  <c r="AL73" i="1"/>
  <c r="C72" i="1" l="1"/>
  <c r="BK72" i="1" s="1"/>
  <c r="BG75" i="1"/>
  <c r="BK75" i="1"/>
  <c r="BO75" i="1"/>
  <c r="BO72" i="1"/>
  <c r="BG72" i="1"/>
  <c r="AY75" i="1" l="1"/>
  <c r="AU75" i="1" s="1"/>
  <c r="AY72" i="1"/>
  <c r="AU72" i="1" s="1"/>
  <c r="AI72" i="1" s="1"/>
  <c r="AG75" i="1" l="1"/>
  <c r="AJ75" i="1"/>
  <c r="AH75" i="1"/>
  <c r="AI75" i="1"/>
  <c r="AH72" i="1"/>
  <c r="AJ72" i="1"/>
  <c r="AG72" i="1"/>
  <c r="AL72" i="1" l="1"/>
  <c r="C74" i="1"/>
  <c r="BK74" i="1" s="1"/>
  <c r="AL75" i="1"/>
  <c r="BO74" i="1" l="1"/>
  <c r="BG74" i="1"/>
  <c r="AY74" i="1" s="1"/>
  <c r="AU74" i="1" s="1"/>
  <c r="AG74" i="1" s="1"/>
  <c r="AI74" i="1" l="1"/>
  <c r="AJ74" i="1"/>
  <c r="AH74" i="1"/>
  <c r="AL74" i="1" l="1"/>
</calcChain>
</file>

<file path=xl/sharedStrings.xml><?xml version="1.0" encoding="utf-8"?>
<sst xmlns="http://schemas.openxmlformats.org/spreadsheetml/2006/main" count="4661" uniqueCount="1488">
  <si>
    <t>메시지 길이</t>
    <phoneticPr fontId="4" type="noConversion"/>
  </si>
  <si>
    <t>해시압축 수행 횟수</t>
    <phoneticPr fontId="4" type="noConversion"/>
  </si>
  <si>
    <t>최종 해시 값(16진수)</t>
    <phoneticPr fontId="4" type="noConversion"/>
  </si>
  <si>
    <t>메시지(ASCII코드)</t>
    <phoneticPr fontId="4" type="noConversion"/>
  </si>
  <si>
    <t>바이트</t>
    <phoneticPr fontId="4" type="noConversion"/>
  </si>
  <si>
    <t>구분</t>
    <phoneticPr fontId="4" type="noConversion"/>
  </si>
  <si>
    <t>4: 입력문자있음</t>
    <phoneticPr fontId="4" type="noConversion"/>
  </si>
  <si>
    <t>2: 0x00으로 채움</t>
    <phoneticPr fontId="4" type="noConversion"/>
  </si>
  <si>
    <t>1: 코드길이 입력</t>
    <phoneticPr fontId="4" type="noConversion"/>
  </si>
  <si>
    <t>동작구분(완결)</t>
    <phoneticPr fontId="4" type="noConversion"/>
  </si>
  <si>
    <t>만일, 메시지가 64문자(512비트)보다 크다면 입력 메시지를 잘라 사용 (그렇지 않으면 그대로 사용)</t>
    <phoneticPr fontId="4" type="noConversion"/>
  </si>
  <si>
    <t>1. 입력 메시지가 64개 문자(512비트)보다 길다면 메시지를 64개 문자 단위로 분할 함. 그리고 분할된 메시지의 수 만큼 반복 수행</t>
    <phoneticPr fontId="4" type="noConversion"/>
  </si>
  <si>
    <t>3. 2번 과정까지 거치고 난 문자의 총 개수가 56개 이하라면, 56번째 문자까지 0x00으로 채우고, 57~64번째 문자에는 메시지의 길이(bit단위)를 저장함</t>
    <phoneticPr fontId="4" type="noConversion"/>
  </si>
  <si>
    <t>4. 반면, 2번 과정까지 거치고 난 문자의 총 개수가 56개를 초과한 경우, 64번째 문자까지 0x00으로 채움</t>
    <phoneticPr fontId="4" type="noConversion"/>
  </si>
  <si>
    <t>입력 메시지</t>
    <phoneticPr fontId="4" type="noConversion"/>
  </si>
  <si>
    <t>입력 메시지1</t>
    <phoneticPr fontId="4" type="noConversion"/>
  </si>
  <si>
    <t>입력 메시지2</t>
    <phoneticPr fontId="4" type="noConversion"/>
  </si>
  <si>
    <t>메시지길이</t>
    <phoneticPr fontId="4" type="noConversion"/>
  </si>
  <si>
    <t>1) 메시지분할</t>
    <phoneticPr fontId="4" type="noConversion"/>
  </si>
  <si>
    <t>STEP#1</t>
    <phoneticPr fontId="4" type="noConversion"/>
  </si>
  <si>
    <t>STEP#2</t>
    <phoneticPr fontId="4" type="noConversion"/>
  </si>
  <si>
    <t>코드길이 입력은 56번째 셀부터 다른 계산식을 가지고 있음</t>
    <phoneticPr fontId="4" type="noConversion"/>
  </si>
  <si>
    <t>2. 반대로 입력 메시지가 64개 문자보다 작은 값이라면, 입력 메시지의 다음 문자를 0x01으로 설정하고, 이후 문자를 0x00으로 넣어 줌(넣어주는 문자의 개수는 메시지 개수가 8의 배수가 될때까지)</t>
    <phoneticPr fontId="4" type="noConversion"/>
  </si>
  <si>
    <t>x</t>
    <phoneticPr fontId="4" type="noConversion"/>
  </si>
  <si>
    <t>회</t>
    <phoneticPr fontId="4" type="noConversion"/>
  </si>
  <si>
    <t>동작구분 코드</t>
    <phoneticPr fontId="4" type="noConversion"/>
  </si>
  <si>
    <t>인덱스</t>
    <phoneticPr fontId="4" type="noConversion"/>
  </si>
  <si>
    <t>최종 결과</t>
    <phoneticPr fontId="4" type="noConversion"/>
  </si>
  <si>
    <t>메시지 분할</t>
    <phoneticPr fontId="4" type="noConversion"/>
  </si>
  <si>
    <t>1. 입력 512비트를 32단위로 구분하며, 처음 16개(W0~W15)는 입력 메시지에서 가져옴</t>
    <phoneticPr fontId="4" type="noConversion"/>
  </si>
  <si>
    <t>2. 이후, 48개(W16~W63)는 이전의 W값의 조합으로 계산</t>
    <phoneticPr fontId="4" type="noConversion"/>
  </si>
  <si>
    <t>W0</t>
    <phoneticPr fontId="4" type="noConversion"/>
  </si>
  <si>
    <t>W1</t>
  </si>
  <si>
    <t>W1</t>
    <phoneticPr fontId="4" type="noConversion"/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</si>
  <si>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</si>
  <si>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</si>
  <si>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</si>
  <si>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</si>
  <si>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</si>
  <si>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</si>
  <si>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</si>
  <si>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</si>
  <si>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</si>
  <si>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</si>
  <si>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</si>
  <si>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</si>
  <si>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</si>
  <si>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</si>
  <si>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</si>
  <si>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</si>
  <si>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</si>
  <si>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</si>
  <si>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</si>
  <si>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</si>
  <si>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</si>
  <si>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</si>
  <si>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</si>
  <si>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</si>
  <si>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</si>
  <si>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</si>
  <si>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</si>
  <si>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</si>
  <si>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</si>
  <si>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</si>
  <si>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</si>
  <si>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</si>
  <si>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</si>
  <si>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</si>
  <si>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</si>
  <si>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</si>
  <si>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</si>
  <si>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</si>
  <si>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</si>
  <si>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</si>
  <si>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</si>
  <si>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</si>
  <si>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</si>
  <si>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</si>
  <si>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</si>
  <si>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</si>
  <si>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</si>
  <si>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</si>
  <si>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</si>
  <si>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</si>
  <si>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</si>
  <si>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</si>
  <si>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</si>
  <si>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</si>
  <si>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</si>
  <si>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</si>
  <si>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</si>
  <si>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</si>
  <si>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</si>
  <si>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</si>
  <si>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</si>
  <si>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</si>
  <si>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만일, 메시지가 56문자(448비트)보다 크다면 입력 메시지를 잘라 사용 (그렇지 않으면 그대로 사용)</t>
    <phoneticPr fontId="4" type="noConversion"/>
  </si>
  <si>
    <t>Wt-16</t>
    <phoneticPr fontId="4" type="noConversion"/>
  </si>
  <si>
    <t>Wt-2</t>
    <phoneticPr fontId="4" type="noConversion"/>
  </si>
  <si>
    <r>
      <t>σ</t>
    </r>
    <r>
      <rPr>
        <sz val="11"/>
        <color theme="1"/>
        <rFont val="맑은 고딕"/>
        <family val="2"/>
        <charset val="129"/>
      </rPr>
      <t>0 = ROTR7(x) xor ROTR18(x) xor SHR3(x)</t>
    </r>
    <phoneticPr fontId="4" type="noConversion"/>
  </si>
  <si>
    <r>
      <t>σ</t>
    </r>
    <r>
      <rPr>
        <sz val="11"/>
        <color theme="1"/>
        <rFont val="맑은 고딕"/>
        <family val="2"/>
        <charset val="129"/>
      </rPr>
      <t>1 = ROTR17(x) xor ROTR19(x) xor SHR10(x)</t>
    </r>
    <phoneticPr fontId="4" type="noConversion"/>
  </si>
  <si>
    <t>σ1</t>
    <phoneticPr fontId="4" type="noConversion"/>
  </si>
  <si>
    <t>Wt-7</t>
  </si>
  <si>
    <t>Wt-7</t>
    <phoneticPr fontId="4" type="noConversion"/>
  </si>
  <si>
    <t>Wt-15</t>
  </si>
  <si>
    <t>Wt-15</t>
    <phoneticPr fontId="4" type="noConversion"/>
  </si>
  <si>
    <t>σ0</t>
    <phoneticPr fontId="4" type="noConversion"/>
  </si>
  <si>
    <t>ROTR17(Wt-2)</t>
    <phoneticPr fontId="4" type="noConversion"/>
  </si>
  <si>
    <t>ROTR19(Wt-2)</t>
    <phoneticPr fontId="4" type="noConversion"/>
  </si>
  <si>
    <t>SHR10(Wt-2)</t>
    <phoneticPr fontId="4" type="noConversion"/>
  </si>
  <si>
    <t>ROTR7(Wt-15)</t>
    <phoneticPr fontId="4" type="noConversion"/>
  </si>
  <si>
    <t>ROTR18(Wt-15)</t>
    <phoneticPr fontId="4" type="noConversion"/>
  </si>
  <si>
    <t>SHR3(Wt-15)</t>
    <phoneticPr fontId="4" type="noConversion"/>
  </si>
  <si>
    <t>Wt-16</t>
  </si>
  <si>
    <t>Wt-2</t>
  </si>
  <si>
    <t>3: 0x80로 채움</t>
    <phoneticPr fontId="4" type="noConversion"/>
  </si>
  <si>
    <t>3) K상수</t>
    <phoneticPr fontId="4" type="noConversion"/>
  </si>
  <si>
    <t>1. K상수는 64개의 32비트 비트열로 구성됨</t>
    <phoneticPr fontId="4" type="noConversion"/>
  </si>
  <si>
    <t>2) 메시지스케줄</t>
    <phoneticPr fontId="4" type="noConversion"/>
  </si>
  <si>
    <t>3. 메시지스케줄 출력값은 64번 반복하는 라운드연산의 입력이 됨 (W가 64개인 이유)</t>
    <phoneticPr fontId="4" type="noConversion"/>
  </si>
  <si>
    <t>2. K상수는 64번 반복하는 라운드연산의 입력이 됨 (K가 64개인 이유)</t>
    <phoneticPr fontId="4" type="noConversion"/>
  </si>
  <si>
    <t>K0</t>
    <phoneticPr fontId="4" type="noConversion"/>
  </si>
  <si>
    <t>K1</t>
    <phoneticPr fontId="4" type="noConversion"/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</si>
  <si>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</si>
  <si>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</si>
  <si>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</si>
  <si>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</si>
  <si>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</si>
  <si>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</si>
  <si>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</si>
  <si>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</si>
  <si>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</si>
  <si>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</si>
  <si>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</si>
  <si>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</si>
  <si>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</si>
  <si>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</si>
  <si>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</si>
  <si>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</si>
  <si>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</si>
  <si>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</si>
  <si>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</si>
  <si>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</si>
  <si>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</si>
  <si>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</si>
  <si>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</si>
  <si>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</si>
  <si>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</si>
  <si>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</si>
  <si>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</si>
  <si>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</si>
  <si>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</si>
  <si>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</si>
  <si>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</si>
  <si>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</si>
  <si>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</si>
  <si>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</si>
  <si>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</si>
  <si>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</si>
  <si>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</si>
  <si>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</si>
  <si>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</si>
  <si>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</si>
  <si>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</si>
  <si>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</si>
  <si>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</si>
  <si>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</si>
  <si>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</si>
  <si>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</si>
  <si>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</si>
  <si>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</si>
  <si>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</si>
  <si>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</si>
  <si>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</si>
  <si>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</si>
  <si>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</si>
  <si>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</si>
  <si>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</si>
  <si>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</si>
  <si>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</si>
  <si>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</si>
  <si>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</si>
  <si>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</si>
  <si>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</si>
  <si>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</si>
  <si>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값</t>
    <phoneticPr fontId="4" type="noConversion"/>
  </si>
  <si>
    <t>428a2f98</t>
  </si>
  <si>
    <t>b5c0fbcf</t>
  </si>
  <si>
    <t>e9b5dba5</t>
  </si>
  <si>
    <t>3956c25b</t>
  </si>
  <si>
    <t>59f111f1</t>
  </si>
  <si>
    <t>923f82a4</t>
  </si>
  <si>
    <t>ab1c5ed5</t>
  </si>
  <si>
    <t>d807aa98</t>
  </si>
  <si>
    <t>12835b01</t>
  </si>
  <si>
    <t>243185be</t>
  </si>
  <si>
    <t>550c7dc3</t>
  </si>
  <si>
    <t>72be5d74</t>
  </si>
  <si>
    <t>80deb1fe</t>
  </si>
  <si>
    <t>9bdc06a7</t>
  </si>
  <si>
    <t>c19bf174</t>
  </si>
  <si>
    <t>e49b69c1</t>
  </si>
  <si>
    <t>efbe4786</t>
  </si>
  <si>
    <t>0fc19dc6</t>
  </si>
  <si>
    <t>240ca1cc</t>
  </si>
  <si>
    <t>2de92c6f</t>
  </si>
  <si>
    <t>4a7484aa</t>
  </si>
  <si>
    <t>5cb0a9dc</t>
  </si>
  <si>
    <t>76f988da</t>
  </si>
  <si>
    <t>983e5152</t>
  </si>
  <si>
    <t>a831c66d</t>
  </si>
  <si>
    <t>b00327c8</t>
  </si>
  <si>
    <t>bf597fc7</t>
  </si>
  <si>
    <t>c6e00bf3</t>
  </si>
  <si>
    <t>d5a79147</t>
  </si>
  <si>
    <t>06ca6351</t>
  </si>
  <si>
    <t>27b70a85</t>
  </si>
  <si>
    <t>2e1b2138</t>
  </si>
  <si>
    <t>4d2c6dfc</t>
  </si>
  <si>
    <t>53380d13</t>
  </si>
  <si>
    <t>650a7354</t>
  </si>
  <si>
    <t>766a0abb</t>
  </si>
  <si>
    <t>81c2c92e</t>
  </si>
  <si>
    <t>92722c85</t>
  </si>
  <si>
    <t>a2bfe8a1</t>
  </si>
  <si>
    <t>a81a664b</t>
  </si>
  <si>
    <t>c24b8b70</t>
  </si>
  <si>
    <t>c76c51a3</t>
  </si>
  <si>
    <t>d192e819</t>
  </si>
  <si>
    <t>d6990624</t>
  </si>
  <si>
    <t>f40e3585</t>
  </si>
  <si>
    <t>106aa070</t>
  </si>
  <si>
    <t>19a4c116</t>
  </si>
  <si>
    <t>1e376c08</t>
  </si>
  <si>
    <t>2748774c</t>
  </si>
  <si>
    <t>34b0bcb5</t>
  </si>
  <si>
    <t>391c0cb3</t>
  </si>
  <si>
    <t>4ed8aa4a</t>
  </si>
  <si>
    <t>5b9cca4f</t>
  </si>
  <si>
    <t>682e6ff3</t>
  </si>
  <si>
    <t>748f82ee</t>
  </si>
  <si>
    <t>78a5636f</t>
  </si>
  <si>
    <t>84c87814</t>
  </si>
  <si>
    <t>8cc70208</t>
  </si>
  <si>
    <t>90befffa</t>
  </si>
  <si>
    <t>a4506ceb</t>
  </si>
  <si>
    <t>bef9a3f7</t>
  </si>
  <si>
    <t>c67178f2</t>
  </si>
  <si>
    <t>길이</t>
    <phoneticPr fontId="4" type="noConversion"/>
  </si>
  <si>
    <t>이전의 W값에</t>
    <phoneticPr fontId="4" type="noConversion"/>
  </si>
  <si>
    <t>의해서 값이 결정</t>
    <phoneticPr fontId="4" type="noConversion"/>
  </si>
  <si>
    <t>W# CONCAT</t>
    <phoneticPr fontId="4" type="noConversion"/>
  </si>
  <si>
    <t>STEP#3</t>
  </si>
  <si>
    <t>출력 해시값 H2</t>
  </si>
  <si>
    <t>STEP#4</t>
  </si>
  <si>
    <t>입력 해시값 H2</t>
  </si>
  <si>
    <t>출력 해시값 H3</t>
  </si>
  <si>
    <t>STEP#5</t>
  </si>
  <si>
    <t>입력 해시값 H3</t>
  </si>
  <si>
    <t>출력 해시값 H4</t>
  </si>
  <si>
    <t>STEP#6</t>
  </si>
  <si>
    <t>입력 해시값 H4</t>
  </si>
  <si>
    <t>출력 해시값 H5</t>
  </si>
  <si>
    <t>STEP#7</t>
  </si>
  <si>
    <t>입력 해시값 H5</t>
  </si>
  <si>
    <t>출력 해시값 H6</t>
  </si>
  <si>
    <t>STEP#8</t>
  </si>
  <si>
    <t>입력 해시값 H6</t>
  </si>
  <si>
    <t>출력 해시값 H7</t>
  </si>
  <si>
    <t>STEP#9</t>
  </si>
  <si>
    <t>입력 해시값 H7</t>
  </si>
  <si>
    <t>출력 해시값 H8</t>
  </si>
  <si>
    <t>STEP#10</t>
  </si>
  <si>
    <t>입력 해시값 H8</t>
  </si>
  <si>
    <t>출력 해시값 H9</t>
  </si>
  <si>
    <t>STEP#11</t>
  </si>
  <si>
    <t>입력 해시값 H9</t>
  </si>
  <si>
    <t>출력 해시값 H10</t>
  </si>
  <si>
    <t>STEP#12</t>
  </si>
  <si>
    <t>입력 해시값 H10</t>
  </si>
  <si>
    <t>출력 해시값 H11</t>
  </si>
  <si>
    <t>STEP#13</t>
  </si>
  <si>
    <t>입력 해시값 H11</t>
  </si>
  <si>
    <t>출력 해시값 H12</t>
  </si>
  <si>
    <t>STEP#14</t>
  </si>
  <si>
    <t>입력 해시값 H12</t>
  </si>
  <si>
    <t>출력 해시값 H13</t>
  </si>
  <si>
    <t>STEP#15</t>
  </si>
  <si>
    <t>입력 해시값 H13</t>
  </si>
  <si>
    <t>출력 해시값 H14</t>
  </si>
  <si>
    <t>STEP#16</t>
  </si>
  <si>
    <t>입력 해시값 H14</t>
  </si>
  <si>
    <t>출력 해시값 H15</t>
  </si>
  <si>
    <t>STEP#17</t>
  </si>
  <si>
    <t>입력 해시값 H15</t>
  </si>
  <si>
    <t>출력 해시값 H16</t>
  </si>
  <si>
    <t>STEP#18</t>
  </si>
  <si>
    <t>입력 해시값 H16</t>
  </si>
  <si>
    <t>출력 해시값 H17</t>
  </si>
  <si>
    <t>STEP#19</t>
  </si>
  <si>
    <t>입력 해시값 H17</t>
  </si>
  <si>
    <t>출력 해시값 H18</t>
  </si>
  <si>
    <t>STEP#20</t>
  </si>
  <si>
    <t>입력 해시값 H18</t>
  </si>
  <si>
    <t>출력 해시값 H19</t>
  </si>
  <si>
    <t>STEP#21</t>
  </si>
  <si>
    <t>입력 해시값 H19</t>
  </si>
  <si>
    <t>출력 해시값 H20</t>
  </si>
  <si>
    <t>STEP#22</t>
  </si>
  <si>
    <t>입력 해시값 H20</t>
  </si>
  <si>
    <t>출력 해시값 H21</t>
  </si>
  <si>
    <t>STEP#23</t>
  </si>
  <si>
    <t>입력 해시값 H21</t>
  </si>
  <si>
    <t>출력 해시값 H22</t>
  </si>
  <si>
    <t>STEP#24</t>
  </si>
  <si>
    <t>입력 해시값 H22</t>
  </si>
  <si>
    <t>출력 해시값 H23</t>
  </si>
  <si>
    <t>STEP#25</t>
  </si>
  <si>
    <t>입력 해시값 H23</t>
  </si>
  <si>
    <t>출력 해시값 H24</t>
  </si>
  <si>
    <t>STEP#26</t>
  </si>
  <si>
    <t>입력 해시값 H24</t>
  </si>
  <si>
    <t>출력 해시값 H25</t>
  </si>
  <si>
    <t>STEP#27</t>
  </si>
  <si>
    <t>입력 해시값 H25</t>
  </si>
  <si>
    <t>출력 해시값 H26</t>
  </si>
  <si>
    <t>STEP#28</t>
  </si>
  <si>
    <t>입력 해시값 H26</t>
  </si>
  <si>
    <t>출력 해시값 H27</t>
  </si>
  <si>
    <t>STEP#29</t>
  </si>
  <si>
    <t>입력 해시값 H27</t>
  </si>
  <si>
    <t>출력 해시값 H28</t>
  </si>
  <si>
    <t>STEP#30</t>
  </si>
  <si>
    <t>입력 해시값 H28</t>
  </si>
  <si>
    <t>출력 해시값 H29</t>
  </si>
  <si>
    <t>STEP#31</t>
  </si>
  <si>
    <t>입력 해시값 H29</t>
  </si>
  <si>
    <t>출력 해시값 H30</t>
  </si>
  <si>
    <t>STEP#32</t>
  </si>
  <si>
    <t>입력 해시값 H30</t>
  </si>
  <si>
    <t>출력 해시값 H31</t>
  </si>
  <si>
    <t>STEP#33</t>
  </si>
  <si>
    <t>입력 해시값 H31</t>
  </si>
  <si>
    <t>출력 해시값 H32</t>
  </si>
  <si>
    <t>STEP#34</t>
  </si>
  <si>
    <t>입력 해시값 H32</t>
  </si>
  <si>
    <t>출력 해시값 H33</t>
  </si>
  <si>
    <t>STEP#35</t>
  </si>
  <si>
    <t>입력 해시값 H33</t>
  </si>
  <si>
    <t>출력 해시값 H34</t>
  </si>
  <si>
    <t>STEP#36</t>
  </si>
  <si>
    <t>입력 해시값 H34</t>
  </si>
  <si>
    <t>출력 해시값 H35</t>
  </si>
  <si>
    <t>STEP#37</t>
  </si>
  <si>
    <t>입력 해시값 H35</t>
  </si>
  <si>
    <t>출력 해시값 H36</t>
  </si>
  <si>
    <t>STEP#38</t>
  </si>
  <si>
    <t>입력 해시값 H36</t>
  </si>
  <si>
    <t>출력 해시값 H37</t>
  </si>
  <si>
    <t>STEP#39</t>
  </si>
  <si>
    <t>입력 해시값 H37</t>
  </si>
  <si>
    <t>출력 해시값 H38</t>
  </si>
  <si>
    <t>STEP#40</t>
  </si>
  <si>
    <t>입력 해시값 H38</t>
  </si>
  <si>
    <t>출력 해시값 H39</t>
  </si>
  <si>
    <t>STEP#41</t>
  </si>
  <si>
    <t>입력 해시값 H39</t>
  </si>
  <si>
    <t>출력 해시값 H40</t>
  </si>
  <si>
    <t>STEP#42</t>
  </si>
  <si>
    <t>입력 해시값 H40</t>
  </si>
  <si>
    <t>출력 해시값 H41</t>
  </si>
  <si>
    <t>STEP#43</t>
  </si>
  <si>
    <t>입력 해시값 H41</t>
  </si>
  <si>
    <t>출력 해시값 H42</t>
  </si>
  <si>
    <t>STEP#44</t>
  </si>
  <si>
    <t>입력 해시값 H42</t>
  </si>
  <si>
    <t>출력 해시값 H43</t>
  </si>
  <si>
    <t>STEP#45</t>
  </si>
  <si>
    <t>입력 해시값 H43</t>
  </si>
  <si>
    <t>출력 해시값 H44</t>
  </si>
  <si>
    <t>STEP#46</t>
  </si>
  <si>
    <t>입력 해시값 H44</t>
  </si>
  <si>
    <t>출력 해시값 H45</t>
  </si>
  <si>
    <t>STEP#47</t>
  </si>
  <si>
    <t>입력 해시값 H45</t>
  </si>
  <si>
    <t>출력 해시값 H46</t>
  </si>
  <si>
    <t>STEP#48</t>
  </si>
  <si>
    <t>입력 해시값 H46</t>
  </si>
  <si>
    <t>출력 해시값 H47</t>
  </si>
  <si>
    <t>STEP#49</t>
  </si>
  <si>
    <t>입력 해시값 H47</t>
  </si>
  <si>
    <t>출력 해시값 H48</t>
  </si>
  <si>
    <t>STEP#50</t>
  </si>
  <si>
    <t>입력 해시값 H48</t>
  </si>
  <si>
    <t>출력 해시값 H49</t>
  </si>
  <si>
    <t>STEP#51</t>
  </si>
  <si>
    <t>입력 해시값 H49</t>
  </si>
  <si>
    <t>출력 해시값 H50</t>
  </si>
  <si>
    <t>STEP#52</t>
  </si>
  <si>
    <t>입력 해시값 H50</t>
  </si>
  <si>
    <t>출력 해시값 H51</t>
  </si>
  <si>
    <t>STEP#53</t>
  </si>
  <si>
    <t>입력 해시값 H51</t>
  </si>
  <si>
    <t>출력 해시값 H52</t>
  </si>
  <si>
    <t>STEP#54</t>
  </si>
  <si>
    <t>입력 해시값 H52</t>
  </si>
  <si>
    <t>출력 해시값 H53</t>
  </si>
  <si>
    <t>STEP#55</t>
  </si>
  <si>
    <t>입력 해시값 H53</t>
  </si>
  <si>
    <t>출력 해시값 H54</t>
  </si>
  <si>
    <t>STEP#56</t>
  </si>
  <si>
    <t>입력 해시값 H54</t>
  </si>
  <si>
    <t>출력 해시값 H55</t>
  </si>
  <si>
    <t>STEP#57</t>
  </si>
  <si>
    <t>입력 해시값 H55</t>
  </si>
  <si>
    <t>출력 해시값 H56</t>
  </si>
  <si>
    <t>STEP#58</t>
  </si>
  <si>
    <t>입력 해시값 H56</t>
  </si>
  <si>
    <t>출력 해시값 H57</t>
  </si>
  <si>
    <t>STEP#59</t>
  </si>
  <si>
    <t>입력 해시값 H57</t>
  </si>
  <si>
    <t>출력 해시값 H58</t>
  </si>
  <si>
    <t>STEP#60</t>
  </si>
  <si>
    <t>입력 해시값 H58</t>
  </si>
  <si>
    <t>출력 해시값 H59</t>
  </si>
  <si>
    <t>STEP#61</t>
  </si>
  <si>
    <t>입력 해시값 H59</t>
  </si>
  <si>
    <t>출력 해시값 H60</t>
  </si>
  <si>
    <t>STEP#62</t>
  </si>
  <si>
    <t>입력 해시값 H60</t>
  </si>
  <si>
    <t>출력 해시값 H61</t>
  </si>
  <si>
    <t>STEP#63</t>
  </si>
  <si>
    <t>입력 해시값 H61</t>
  </si>
  <si>
    <t>출력 해시값 H62</t>
  </si>
  <si>
    <t>STEP#64</t>
  </si>
  <si>
    <t>입력 해시값 H62</t>
  </si>
  <si>
    <t>출력 해시값 H63</t>
  </si>
  <si>
    <t>입력 해시값 H63</t>
  </si>
  <si>
    <t>출력 해시값 H64</t>
  </si>
  <si>
    <t>입력1</t>
    <phoneticPr fontId="4" type="noConversion"/>
  </si>
  <si>
    <t>입력2</t>
    <phoneticPr fontId="4" type="noConversion"/>
  </si>
  <si>
    <t>출력1 (정답)</t>
    <phoneticPr fontId="4" type="noConversion"/>
  </si>
  <si>
    <t>출력2 (정답)</t>
    <phoneticPr fontId="4" type="noConversion"/>
  </si>
  <si>
    <t>E4C4D8F3BF76B692DE791A173E05321150F7A345B46484FE427F6ACC7ECC81BE</t>
  </si>
  <si>
    <t>The quick brown fox jumps over the lazy dog</t>
    <phoneticPr fontId="4" type="noConversion"/>
  </si>
  <si>
    <t>D7A8FBB37D7809469CA9ABCB0082E4F8D5651E46D3CDB762D02D0BF37C9E592</t>
  </si>
  <si>
    <t>4) 라운드연산</t>
  </si>
  <si>
    <t>1. 입력 해시값 H0는 정해진 256비트 값을 사용</t>
  </si>
  <si>
    <t>^: 비트 AND 연산</t>
  </si>
  <si>
    <t>ROTR2 : 2비트 회전 오른쪽 시프트</t>
  </si>
  <si>
    <t>x</t>
  </si>
  <si>
    <t>2. 입력 해시값을 32비트 8개(a~h)로 나눔</t>
  </si>
  <si>
    <t>￢ 또는 ∽ : 비트 반전</t>
  </si>
  <si>
    <t>SHR3 : 3비트 오른쪽 시프트</t>
  </si>
  <si>
    <t>3. 64라운드 연산을 수행</t>
  </si>
  <si>
    <t xml:space="preserve">㊉ : 비트 XOR </t>
  </si>
  <si>
    <t>STEP#1</t>
  </si>
  <si>
    <t>a</t>
  </si>
  <si>
    <t>b</t>
  </si>
  <si>
    <t>c</t>
  </si>
  <si>
    <t>d</t>
  </si>
  <si>
    <t>e</t>
  </si>
  <si>
    <t>f</t>
  </si>
  <si>
    <t>g</t>
  </si>
  <si>
    <t>h</t>
  </si>
  <si>
    <t>입력 해시값 H0</t>
  </si>
  <si>
    <t>6a09e667</t>
  </si>
  <si>
    <t>bb67ae85</t>
  </si>
  <si>
    <t>3c6ef372</t>
  </si>
  <si>
    <t>a54ff53a</t>
  </si>
  <si>
    <t>510e527f</t>
  </si>
  <si>
    <t>9b05688c</t>
  </si>
  <si>
    <t>1f83d9ab</t>
  </si>
  <si>
    <t>5be0cd19</t>
  </si>
  <si>
    <t>T1</t>
  </si>
  <si>
    <t xml:space="preserve">∑1(e) </t>
  </si>
  <si>
    <t>ch(e,f,g)</t>
  </si>
  <si>
    <t>Kt</t>
  </si>
  <si>
    <t>Wt</t>
  </si>
  <si>
    <t>ROTR6(e)</t>
  </si>
  <si>
    <t>ROTR11(e)</t>
  </si>
  <si>
    <t>ROTR25(e)</t>
  </si>
  <si>
    <t>FD443949</t>
  </si>
  <si>
    <t>4FEA21CA</t>
  </si>
  <si>
    <t>87293FA8</t>
  </si>
  <si>
    <t>T2</t>
  </si>
  <si>
    <t xml:space="preserve">∑0(a) </t>
  </si>
  <si>
    <t>Maj(a,b,c)</t>
  </si>
  <si>
    <t>ROTR2(a)</t>
  </si>
  <si>
    <t>ROTR13(a)</t>
  </si>
  <si>
    <t>ROTR22(a)</t>
  </si>
  <si>
    <t>a=T1+T2</t>
  </si>
  <si>
    <t>b=a</t>
  </si>
  <si>
    <t>c=b</t>
  </si>
  <si>
    <t>d=c</t>
  </si>
  <si>
    <t>e=d+T1</t>
  </si>
  <si>
    <t>f=e</t>
  </si>
  <si>
    <t>g=f</t>
  </si>
  <si>
    <t>h=g</t>
  </si>
  <si>
    <t>출력 해시값 H1</t>
  </si>
  <si>
    <t>5070ED6D</t>
  </si>
  <si>
    <t>ED3047C2</t>
  </si>
  <si>
    <t>STEP#2</t>
  </si>
  <si>
    <t>입력 해시값 H1</t>
  </si>
  <si>
    <t>BB4C11F</t>
  </si>
  <si>
    <t>F85DA608</t>
  </si>
  <si>
    <t>9823E176</t>
  </si>
  <si>
    <t>38257450</t>
  </si>
  <si>
    <t>FD6F6BC0</t>
  </si>
  <si>
    <t>781FADED</t>
  </si>
  <si>
    <t>B7B5E07E</t>
  </si>
  <si>
    <t>B17BC144</t>
  </si>
  <si>
    <t>26E2CC4C</t>
  </si>
  <si>
    <t>30CEB98D</t>
  </si>
  <si>
    <t>9F3F1AF</t>
  </si>
  <si>
    <t>6239E5A9</t>
  </si>
  <si>
    <t>FD7E6FC2</t>
  </si>
  <si>
    <t>6F776E20</t>
  </si>
  <si>
    <t>34C33AE6</t>
  </si>
  <si>
    <t>31A619D7</t>
  </si>
  <si>
    <t>675CC698</t>
  </si>
  <si>
    <t>1149A0EA</t>
  </si>
  <si>
    <t>9B8B313</t>
  </si>
  <si>
    <t>62613716</t>
  </si>
  <si>
    <t>8B31309B</t>
  </si>
  <si>
    <t>1B3D9299</t>
  </si>
  <si>
    <t>73FDD816</t>
  </si>
  <si>
    <t>EFB2C1E3</t>
  </si>
  <si>
    <t>A5ED83E2</t>
  </si>
  <si>
    <t>BCCEBBC4</t>
  </si>
  <si>
    <t>666F7820</t>
  </si>
  <si>
    <t>59CFF760</t>
  </si>
  <si>
    <t>2CE7FBB</t>
  </si>
  <si>
    <t>FEEC0B39</t>
  </si>
  <si>
    <t>5E73AD7E</t>
  </si>
  <si>
    <t>244DD926</t>
  </si>
  <si>
    <t>3A25D458</t>
  </si>
  <si>
    <t>46CF64A6</t>
  </si>
  <si>
    <t>94C8D9EC</t>
  </si>
  <si>
    <t>F64A646C</t>
  </si>
  <si>
    <t>4E266F61</t>
  </si>
  <si>
    <t>4023AF50</t>
  </si>
  <si>
    <t>EDA2A6A6</t>
  </si>
  <si>
    <t>BADF22E8</t>
  </si>
  <si>
    <t>70ED989D</t>
  </si>
  <si>
    <t>6A756D70</t>
  </si>
  <si>
    <t>41008EBD</t>
  </si>
  <si>
    <t>EA080475</t>
  </si>
  <si>
    <t>11D7A820</t>
  </si>
  <si>
    <t>BF653E1C</t>
  </si>
  <si>
    <t>B13E6FD3</t>
  </si>
  <si>
    <t>E26CE49</t>
  </si>
  <si>
    <t>53899BD8</t>
  </si>
  <si>
    <t>7B0A7133</t>
  </si>
  <si>
    <t>99BD8538</t>
  </si>
  <si>
    <t>AD07E4C2</t>
  </si>
  <si>
    <t>25C81AF6</t>
  </si>
  <si>
    <t>EAC35871</t>
  </si>
  <si>
    <t>625EE27A</t>
  </si>
  <si>
    <t>5235CA50</t>
  </si>
  <si>
    <t>73206F76</t>
  </si>
  <si>
    <t>D897206B</t>
  </si>
  <si>
    <t>5EC4B903</t>
  </si>
  <si>
    <t>E40D7B12</t>
  </si>
  <si>
    <t>A1EF827C</t>
  </si>
  <si>
    <t>92C79BBB</t>
  </si>
  <si>
    <t>F27E6C1</t>
  </si>
  <si>
    <t>AB41F930</t>
  </si>
  <si>
    <t>2615683F</t>
  </si>
  <si>
    <t>1F930AB4</t>
  </si>
  <si>
    <t>8CB2DAED</t>
  </si>
  <si>
    <t>11A624BD</t>
  </si>
  <si>
    <t>7704D631</t>
  </si>
  <si>
    <t>B0F6F2DE</t>
  </si>
  <si>
    <t>41818BF4</t>
  </si>
  <si>
    <t>65722074</t>
  </si>
  <si>
    <t>F4469892</t>
  </si>
  <si>
    <t>97A234C4</t>
  </si>
  <si>
    <t>D3125E88</t>
  </si>
  <si>
    <t>B525400</t>
  </si>
  <si>
    <t>7F2B651F</t>
  </si>
  <si>
    <t>8C26EEE1</t>
  </si>
  <si>
    <t>632CB6BB</t>
  </si>
  <si>
    <t>D76C6596</t>
  </si>
  <si>
    <t>CB6BB632</t>
  </si>
  <si>
    <t>82572A31</t>
  </si>
  <si>
    <t>924268CA</t>
  </si>
  <si>
    <t>C849D1B7</t>
  </si>
  <si>
    <t>122F24A7</t>
  </si>
  <si>
    <t>358A32BC</t>
  </si>
  <si>
    <t>6865206C</t>
  </si>
  <si>
    <t>2A4909A3</t>
  </si>
  <si>
    <t>1952484D</t>
  </si>
  <si>
    <t>21346549</t>
  </si>
  <si>
    <t>F9C9091D</t>
  </si>
  <si>
    <t>6DB11E3C</t>
  </si>
  <si>
    <t>8C17EAE1</t>
  </si>
  <si>
    <t>6095CA8C</t>
  </si>
  <si>
    <t>518C12B9</t>
  </si>
  <si>
    <t>5CA8C609</t>
  </si>
  <si>
    <t>C212DAD4</t>
  </si>
  <si>
    <t>16704118</t>
  </si>
  <si>
    <t>2907D6CB</t>
  </si>
  <si>
    <t>7B7B8307</t>
  </si>
  <si>
    <t>13C664AD</t>
  </si>
  <si>
    <t>617A7920</t>
  </si>
  <si>
    <t>6059C104</t>
  </si>
  <si>
    <t>2302CE08</t>
  </si>
  <si>
    <t>38208C0B</t>
  </si>
  <si>
    <t>2F5CD020</t>
  </si>
  <si>
    <t>AD49F52B</t>
  </si>
  <si>
    <t>8212DAF5</t>
  </si>
  <si>
    <t>3084B6B5</t>
  </si>
  <si>
    <t>D6A61096</t>
  </si>
  <si>
    <t>4B6B5308</t>
  </si>
  <si>
    <t>5864A6EB</t>
  </si>
  <si>
    <t>D60FBB8D</t>
  </si>
  <si>
    <t>F1C68D37</t>
  </si>
  <si>
    <t>413F39F2</t>
  </si>
  <si>
    <t>1640414A</t>
  </si>
  <si>
    <t>646F6780</t>
  </si>
  <si>
    <t>37583EEE</t>
  </si>
  <si>
    <t>71BAC1F7</t>
  </si>
  <si>
    <t>7DDC6EB</t>
  </si>
  <si>
    <t>362EF2EF</t>
  </si>
  <si>
    <t>73D847FE</t>
  </si>
  <si>
    <t>C256AAF1</t>
  </si>
  <si>
    <t>D61929BA</t>
  </si>
  <si>
    <t>375AC325</t>
  </si>
  <si>
    <t>929BAD61</t>
  </si>
  <si>
    <t>27F58026</t>
  </si>
  <si>
    <t>7E796824</t>
  </si>
  <si>
    <t>E71A485B</t>
  </si>
  <si>
    <t>A9C238B2</t>
  </si>
  <si>
    <t>5609291C</t>
  </si>
  <si>
    <t>00000000</t>
  </si>
  <si>
    <t>91F9E5A0</t>
  </si>
  <si>
    <t>48FCF2D</t>
  </si>
  <si>
    <t>3CB4123F</t>
  </si>
  <si>
    <t>A1414A20</t>
  </si>
  <si>
    <t>5ECCC73A</t>
  </si>
  <si>
    <t>427482E6</t>
  </si>
  <si>
    <t>89FD6009</t>
  </si>
  <si>
    <t>1313FAC</t>
  </si>
  <si>
    <t>D600989F</t>
  </si>
  <si>
    <t>885B927B</t>
  </si>
  <si>
    <t>6971728C</t>
  </si>
  <si>
    <t>60403561</t>
  </si>
  <si>
    <t>D891ADD0</t>
  </si>
  <si>
    <t>FE7FE905</t>
  </si>
  <si>
    <t>31A5C5CA</t>
  </si>
  <si>
    <t>518D2E2E</t>
  </si>
  <si>
    <t>B8B94634</t>
  </si>
  <si>
    <t>27F8CACE</t>
  </si>
  <si>
    <t>1F834863</t>
  </si>
  <si>
    <t>875826B</t>
  </si>
  <si>
    <t>E216E49E</t>
  </si>
  <si>
    <t>93DC42DC</t>
  </si>
  <si>
    <t>6E49EE21</t>
  </si>
  <si>
    <t>8839002F</t>
  </si>
  <si>
    <t>22531035</t>
  </si>
  <si>
    <t>CF0D0242</t>
  </si>
  <si>
    <t>FBA51CB3</t>
  </si>
  <si>
    <t>7C797804</t>
  </si>
  <si>
    <t>D4894C40</t>
  </si>
  <si>
    <t>6A44A62</t>
  </si>
  <si>
    <t>29881A91</t>
  </si>
  <si>
    <t>8FEC4012</t>
  </si>
  <si>
    <t>772BFE3</t>
  </si>
  <si>
    <t>8879802F</t>
  </si>
  <si>
    <t>E20E400B</t>
  </si>
  <si>
    <t>17C41C8</t>
  </si>
  <si>
    <t>E400BE20</t>
  </si>
  <si>
    <t>5EF94254</t>
  </si>
  <si>
    <t>2771A92D</t>
  </si>
  <si>
    <t>AE947F72</t>
  </si>
  <si>
    <t>29EDBE02</t>
  </si>
  <si>
    <t>6A5152A5</t>
  </si>
  <si>
    <t>B49DC6A4</t>
  </si>
  <si>
    <t>25A4EE35</t>
  </si>
  <si>
    <t>B8D49693</t>
  </si>
  <si>
    <t>688EF8A3</t>
  </si>
  <si>
    <t>E015F624</t>
  </si>
  <si>
    <t>8879027F</t>
  </si>
  <si>
    <t>17BE5095</t>
  </si>
  <si>
    <t>12A2F7CA</t>
  </si>
  <si>
    <t>E509517B</t>
  </si>
  <si>
    <t>17237815</t>
  </si>
  <si>
    <t>D689FF98</t>
  </si>
  <si>
    <t>2620492F</t>
  </si>
  <si>
    <t>D4BF3AAA</t>
  </si>
  <si>
    <t>2653A92D</t>
  </si>
  <si>
    <t>00000158</t>
  </si>
  <si>
    <t>635A27FE</t>
  </si>
  <si>
    <t>F31AD13F</t>
  </si>
  <si>
    <t>44FFCC6B</t>
  </si>
  <si>
    <t>26B97357</t>
  </si>
  <si>
    <t>8803342</t>
  </si>
  <si>
    <t>1E394015</t>
  </si>
  <si>
    <t>45C8DE05</t>
  </si>
  <si>
    <t>C0A8B91B</t>
  </si>
  <si>
    <t>8DE0545C</t>
  </si>
  <si>
    <t>4CD9BC86</t>
  </si>
  <si>
    <t>AE7BDBAA</t>
  </si>
  <si>
    <t>B871E4A8</t>
  </si>
  <si>
    <t>E201F542</t>
  </si>
  <si>
    <t>8709FB8D</t>
  </si>
  <si>
    <t>487779E3</t>
  </si>
  <si>
    <t>AAB9EF6E</t>
  </si>
  <si>
    <t>7555CF7B</t>
  </si>
  <si>
    <t>3DEDD557</t>
  </si>
  <si>
    <t>70EF88F3</t>
  </si>
  <si>
    <t>11F610DF</t>
  </si>
  <si>
    <t>5EF97814</t>
  </si>
  <si>
    <t>93366F21</t>
  </si>
  <si>
    <t>E43266CD</t>
  </si>
  <si>
    <t>66F21933</t>
  </si>
  <si>
    <t>29616D9B</t>
  </si>
  <si>
    <t>40AAE4D7</t>
  </si>
  <si>
    <t>78F48D1</t>
  </si>
  <si>
    <t>9298D56F</t>
  </si>
  <si>
    <t>962BDB8A</t>
  </si>
  <si>
    <t>C79AA725</t>
  </si>
  <si>
    <t>5D02AB93</t>
  </si>
  <si>
    <t>9AE8155C</t>
  </si>
  <si>
    <t>55726BA0</t>
  </si>
  <si>
    <t>3098F95F</t>
  </si>
  <si>
    <t>23377CC8</t>
  </si>
  <si>
    <t>D617C97</t>
  </si>
  <si>
    <t>CA585B66</t>
  </si>
  <si>
    <t>6CD94B0B</t>
  </si>
  <si>
    <t>85B66CA5</t>
  </si>
  <si>
    <t>38284230</t>
  </si>
  <si>
    <t>66888B25</t>
  </si>
  <si>
    <t>BA731B9D</t>
  </si>
  <si>
    <t>B573618E</t>
  </si>
  <si>
    <t>C8FBD08F</t>
  </si>
  <si>
    <t>55B84C22</t>
  </si>
  <si>
    <t>959A222C</t>
  </si>
  <si>
    <t>64ACD111</t>
  </si>
  <si>
    <t>444592B3</t>
  </si>
  <si>
    <t>E6EC7DC0</t>
  </si>
  <si>
    <t>BE83112E</t>
  </si>
  <si>
    <t>28696C92</t>
  </si>
  <si>
    <t>E0A108C</t>
  </si>
  <si>
    <t>1181C142</t>
  </si>
  <si>
    <t>A108C0E0</t>
  </si>
  <si>
    <t>A15F995D</t>
  </si>
  <si>
    <t>D19693B2</t>
  </si>
  <si>
    <t>924F6AF5</t>
  </si>
  <si>
    <t>7655B1F4</t>
  </si>
  <si>
    <t>40A8E765</t>
  </si>
  <si>
    <t>08C85426</t>
  </si>
  <si>
    <t>CB465A4E</t>
  </si>
  <si>
    <t>765A32D2</t>
  </si>
  <si>
    <t>CB49D968</t>
  </si>
  <si>
    <t>648E347</t>
  </si>
  <si>
    <t>DCDF9A2E</t>
  </si>
  <si>
    <t>29694919</t>
  </si>
  <si>
    <t>6857E657</t>
  </si>
  <si>
    <t>CAED0AFC</t>
  </si>
  <si>
    <t>7E657685</t>
  </si>
  <si>
    <t>98984E3C</t>
  </si>
  <si>
    <t>DF29277B</t>
  </si>
  <si>
    <t>415F7D53</t>
  </si>
  <si>
    <t>9494FC56</t>
  </si>
  <si>
    <t>F1808B36</t>
  </si>
  <si>
    <t>4CB5E481</t>
  </si>
  <si>
    <t>EF7CA49D</t>
  </si>
  <si>
    <t>EF7BE524</t>
  </si>
  <si>
    <t>9493BDEF</t>
  </si>
  <si>
    <t>EF126F6B</t>
  </si>
  <si>
    <t>36FA252F</t>
  </si>
  <si>
    <t>B8184A3C</t>
  </si>
  <si>
    <t>2626138F</t>
  </si>
  <si>
    <t>71E4C4C2</t>
  </si>
  <si>
    <t>6138F262</t>
  </si>
  <si>
    <t>3071ECBE</t>
  </si>
  <si>
    <t>6AC0EAEE</t>
  </si>
  <si>
    <t>9491A69C</t>
  </si>
  <si>
    <t>84132C83</t>
  </si>
  <si>
    <t>DB16337A</t>
  </si>
  <si>
    <t>846B36D0</t>
  </si>
  <si>
    <t>B9AB03AB</t>
  </si>
  <si>
    <t>5DCD581D</t>
  </si>
  <si>
    <t>60757735</t>
  </si>
  <si>
    <t>DEB8CC9D</t>
  </si>
  <si>
    <t>2E5F0061</t>
  </si>
  <si>
    <t>B059CC3C</t>
  </si>
  <si>
    <t>8C1C7B2F</t>
  </si>
  <si>
    <t>65F1838F</t>
  </si>
  <si>
    <t>C7B2F8C1</t>
  </si>
  <si>
    <t>734A7339</t>
  </si>
  <si>
    <t>CCB9E8CC</t>
  </si>
  <si>
    <t>2E85111A</t>
  </si>
  <si>
    <t>765F16F8</t>
  </si>
  <si>
    <t>5B80EFFF</t>
  </si>
  <si>
    <t>2E5DCC95</t>
  </si>
  <si>
    <t>3332E7A3</t>
  </si>
  <si>
    <t>1999973D</t>
  </si>
  <si>
    <t>5CF46666</t>
  </si>
  <si>
    <t>1D2E518C</t>
  </si>
  <si>
    <t>ECD5E350</t>
  </si>
  <si>
    <t>30586E3C</t>
  </si>
  <si>
    <t>5CD29CCE</t>
  </si>
  <si>
    <t>99CB9A53</t>
  </si>
  <si>
    <t>29CCE5CD</t>
  </si>
  <si>
    <t>4BB362A6</t>
  </si>
  <si>
    <t>CFE4AA77</t>
  </si>
  <si>
    <t>EF9B461C</t>
  </si>
  <si>
    <t>639355DB</t>
  </si>
  <si>
    <t>ECA0E8CC</t>
  </si>
  <si>
    <t>49445720</t>
  </si>
  <si>
    <t>DF3F92A9</t>
  </si>
  <si>
    <t>4EF9FC95</t>
  </si>
  <si>
    <t>F2553BE7</t>
  </si>
  <si>
    <t>BDC77EDA</t>
  </si>
  <si>
    <t>4A541C1C</t>
  </si>
  <si>
    <t>737362BE</t>
  </si>
  <si>
    <t>92ECD8A9</t>
  </si>
  <si>
    <t>15325D9B</t>
  </si>
  <si>
    <t>CD8A992E</t>
  </si>
  <si>
    <t>AD62C4F6</t>
  </si>
  <si>
    <t>88339458</t>
  </si>
  <si>
    <t>231D1A2A</t>
  </si>
  <si>
    <t>F0FBE467</t>
  </si>
  <si>
    <t>CCA8E8D4</t>
  </si>
  <si>
    <t>627910AF</t>
  </si>
  <si>
    <t>6220CE51</t>
  </si>
  <si>
    <t>8B110672</t>
  </si>
  <si>
    <t>19CA2C44</t>
  </si>
  <si>
    <t>73606354</t>
  </si>
  <si>
    <t>7FE009E</t>
  </si>
  <si>
    <t>6B6262B6</t>
  </si>
  <si>
    <t>AB58B13D</t>
  </si>
  <si>
    <t>27B56B16</t>
  </si>
  <si>
    <t>8B13DAB5</t>
  </si>
  <si>
    <t>967D7D7E</t>
  </si>
  <si>
    <t>538F06E8</t>
  </si>
  <si>
    <t>EB55026F</t>
  </si>
  <si>
    <t>BBC739D2</t>
  </si>
  <si>
    <t>8C63AC5F</t>
  </si>
  <si>
    <t>2E3E6D05</t>
  </si>
  <si>
    <t>A14E3C1B</t>
  </si>
  <si>
    <t>DD0A71E0</t>
  </si>
  <si>
    <t>C7837429</t>
  </si>
  <si>
    <t>4B117BE3</t>
  </si>
  <si>
    <t>BB9E16ED</t>
  </si>
  <si>
    <t>8F7364F6</t>
  </si>
  <si>
    <t>A59F5F5F</t>
  </si>
  <si>
    <t>EBF4B3EB</t>
  </si>
  <si>
    <t>F5F5FA59</t>
  </si>
  <si>
    <t>36667E52</t>
  </si>
  <si>
    <t>5E9F75A8</t>
  </si>
  <si>
    <t>C5F5502B</t>
  </si>
  <si>
    <t>5BCB7A17</t>
  </si>
  <si>
    <t>D2AF84F8</t>
  </si>
  <si>
    <t>17927EDD</t>
  </si>
  <si>
    <t>A17A7DD6</t>
  </si>
  <si>
    <t>B50BD3EE</t>
  </si>
  <si>
    <t>4FBAD42F</t>
  </si>
  <si>
    <t>9D57E0F4</t>
  </si>
  <si>
    <t>E6F1647E</t>
  </si>
  <si>
    <t>B6667C76</t>
  </si>
  <si>
    <t>8D999F94</t>
  </si>
  <si>
    <t>F291B333</t>
  </si>
  <si>
    <t>99F948D9</t>
  </si>
  <si>
    <t>634D311F</t>
  </si>
  <si>
    <t>11A8B2D1</t>
  </si>
  <si>
    <t>AC39E9E0</t>
  </si>
  <si>
    <t>CA3DFF55</t>
  </si>
  <si>
    <t>528F34A8</t>
  </si>
  <si>
    <t>47DFA1C4</t>
  </si>
  <si>
    <t>4446A2CB</t>
  </si>
  <si>
    <t>5A223516</t>
  </si>
  <si>
    <t>D4596888</t>
  </si>
  <si>
    <t>9B59A901</t>
  </si>
  <si>
    <t>64EC2BA3</t>
  </si>
  <si>
    <t>366D7D5E</t>
  </si>
  <si>
    <t>D8D34C47</t>
  </si>
  <si>
    <t>88FB1A69</t>
  </si>
  <si>
    <t>34C47D8D</t>
  </si>
  <si>
    <t>479392E1</t>
  </si>
  <si>
    <t>599CAED6</t>
  </si>
  <si>
    <t>75113549</t>
  </si>
  <si>
    <t>4DFA2A02</t>
  </si>
  <si>
    <t>178BF3F8</t>
  </si>
  <si>
    <t>F51C0474</t>
  </si>
  <si>
    <t>596672BB</t>
  </si>
  <si>
    <t>DACB3395</t>
  </si>
  <si>
    <t>CE576B2C</t>
  </si>
  <si>
    <t>EFEC8F8D</t>
  </si>
  <si>
    <t>88A55D3A</t>
  </si>
  <si>
    <t>67473253</t>
  </si>
  <si>
    <t>51E4E4B8</t>
  </si>
  <si>
    <t>970A3C9C</t>
  </si>
  <si>
    <t>4E4B851E</t>
  </si>
  <si>
    <t>64FDC4D6</t>
  </si>
  <si>
    <t>B8EB2C7</t>
  </si>
  <si>
    <t>0B8EB2C7</t>
  </si>
  <si>
    <t>24B2FBEE</t>
  </si>
  <si>
    <t>83962898</t>
  </si>
  <si>
    <t>19ACA2D6</t>
  </si>
  <si>
    <t>53292991</t>
  </si>
  <si>
    <t>1C2E3ACB</t>
  </si>
  <si>
    <t>58E171D6</t>
  </si>
  <si>
    <t>C7596385</t>
  </si>
  <si>
    <t>B07CA01F</t>
  </si>
  <si>
    <t>489F0F48</t>
  </si>
  <si>
    <t>67DD90D7</t>
  </si>
  <si>
    <t>993F7135</t>
  </si>
  <si>
    <t>26B327EE</t>
  </si>
  <si>
    <t>F7135993</t>
  </si>
  <si>
    <t>D52F9C0D</t>
  </si>
  <si>
    <t>5B197A40</t>
  </si>
  <si>
    <t>65FDEE58</t>
  </si>
  <si>
    <t>C5DA26EB</t>
  </si>
  <si>
    <t>B8CB6D6</t>
  </si>
  <si>
    <t>7C23FA75</t>
  </si>
  <si>
    <t>16C65E9</t>
  </si>
  <si>
    <t>480B632F</t>
  </si>
  <si>
    <t>8CBD202D</t>
  </si>
  <si>
    <t>71150DF0</t>
  </si>
  <si>
    <t>2B55792B</t>
  </si>
  <si>
    <t>45BF94C5</t>
  </si>
  <si>
    <t>754BE703</t>
  </si>
  <si>
    <t>E06EA97C</t>
  </si>
  <si>
    <t>BE703754</t>
  </si>
  <si>
    <t>D712FC48</t>
  </si>
  <si>
    <t>C94B1F77</t>
  </si>
  <si>
    <t>73F5818B</t>
  </si>
  <si>
    <t>9453BEFA</t>
  </si>
  <si>
    <t>4B8DBAC0</t>
  </si>
  <si>
    <t>264E2F94</t>
  </si>
  <si>
    <t>DF252C7D</t>
  </si>
  <si>
    <t>EEF92963</t>
  </si>
  <si>
    <t>A58FBBE4</t>
  </si>
  <si>
    <t>71B30125</t>
  </si>
  <si>
    <t>9C7324D9</t>
  </si>
  <si>
    <t>D53FDC4C</t>
  </si>
  <si>
    <t>35C4BF12</t>
  </si>
  <si>
    <t>E246B897</t>
  </si>
  <si>
    <t>4BF1235C</t>
  </si>
  <si>
    <t>E5A882B0</t>
  </si>
  <si>
    <t>BB89146C</t>
  </si>
  <si>
    <t>EC28AF7D</t>
  </si>
  <si>
    <t>FBF3632E</t>
  </si>
  <si>
    <t>C9197E64</t>
  </si>
  <si>
    <t>F3D6109F</t>
  </si>
  <si>
    <t>B2EE2451</t>
  </si>
  <si>
    <t>8D977122</t>
  </si>
  <si>
    <t>C48A365D</t>
  </si>
  <si>
    <t>64126A86</t>
  </si>
  <si>
    <t>8EE7CE7E</t>
  </si>
  <si>
    <t>D52A9C08</t>
  </si>
  <si>
    <t>396A20AC</t>
  </si>
  <si>
    <t>15872D44</t>
  </si>
  <si>
    <t>A20AC396</t>
  </si>
  <si>
    <t>503B1A03</t>
  </si>
  <si>
    <t>51267453</t>
  </si>
  <si>
    <t>8505666C</t>
  </si>
  <si>
    <t>541494B7</t>
  </si>
  <si>
    <t>99491F64</t>
  </si>
  <si>
    <t>0E7316D9</t>
  </si>
  <si>
    <t>4D4499D1</t>
  </si>
  <si>
    <t>8A6A24CE</t>
  </si>
  <si>
    <t>933A29A8</t>
  </si>
  <si>
    <t>BDB6E418</t>
  </si>
  <si>
    <t>E87C4A18</t>
  </si>
  <si>
    <t>D53A9A00</t>
  </si>
  <si>
    <t>D40EC680</t>
  </si>
  <si>
    <t>D01A81D8</t>
  </si>
  <si>
    <t>EC680D40</t>
  </si>
  <si>
    <t>42BC4A84</t>
  </si>
  <si>
    <t>5A350279</t>
  </si>
  <si>
    <t>78E047E5</t>
  </si>
  <si>
    <t>B0C2AE04</t>
  </si>
  <si>
    <t>F1AC1455</t>
  </si>
  <si>
    <t>BFF9F819</t>
  </si>
  <si>
    <t>E568D409</t>
  </si>
  <si>
    <t>4F2B46A0</t>
  </si>
  <si>
    <t>1A813CAD</t>
  </si>
  <si>
    <t>F65F20C9</t>
  </si>
  <si>
    <t>B5A71649</t>
  </si>
  <si>
    <t>40B80A80</t>
  </si>
  <si>
    <t>10AF12A1</t>
  </si>
  <si>
    <t>542215E2</t>
  </si>
  <si>
    <t>F12A110A</t>
  </si>
  <si>
    <t>6F3F68AE</t>
  </si>
  <si>
    <t>4FF3442D</t>
  </si>
  <si>
    <t>8BF28F19</t>
  </si>
  <si>
    <t>C93425DF</t>
  </si>
  <si>
    <t>5A35307B</t>
  </si>
  <si>
    <t>59C81740</t>
  </si>
  <si>
    <t>B53FCD10</t>
  </si>
  <si>
    <t>85A9FE68</t>
  </si>
  <si>
    <t>F9A216A7</t>
  </si>
  <si>
    <t>655D64F2</t>
  </si>
  <si>
    <t>231E1A6C</t>
  </si>
  <si>
    <t>423F4A86</t>
  </si>
  <si>
    <t>9BCFDA2B</t>
  </si>
  <si>
    <t>457379FB</t>
  </si>
  <si>
    <t>FDA2B9BC</t>
  </si>
  <si>
    <t>F14FF40B</t>
  </si>
  <si>
    <t>719B11C9</t>
  </si>
  <si>
    <t>B2795BB9</t>
  </si>
  <si>
    <t>D160BB9D</t>
  </si>
  <si>
    <t>4BB70239</t>
  </si>
  <si>
    <t>DF30B63C</t>
  </si>
  <si>
    <t>25C66C47</t>
  </si>
  <si>
    <t>392E3362</t>
  </si>
  <si>
    <t>CD88E4B8</t>
  </si>
  <si>
    <t>C71BC146</t>
  </si>
  <si>
    <t>63DC58B8</t>
  </si>
  <si>
    <t>633F688E</t>
  </si>
  <si>
    <t>FC53FD02</t>
  </si>
  <si>
    <t>A05F8A7F</t>
  </si>
  <si>
    <t>3FD02FC5</t>
  </si>
  <si>
    <t>79951CFF</t>
  </si>
  <si>
    <t>2B475BC</t>
  </si>
  <si>
    <t>02B475BC</t>
  </si>
  <si>
    <t>A2C248CF</t>
  </si>
  <si>
    <t>1DB05959</t>
  </si>
  <si>
    <t>4DD31189</t>
  </si>
  <si>
    <t>669FD0B9</t>
  </si>
  <si>
    <t>F00AD1D6</t>
  </si>
  <si>
    <t>B780568E</t>
  </si>
  <si>
    <t>5A3ADE01</t>
  </si>
  <si>
    <t>E70CF320</t>
  </si>
  <si>
    <t>6DED7671</t>
  </si>
  <si>
    <t>791F7CAF</t>
  </si>
  <si>
    <t>DE65473F</t>
  </si>
  <si>
    <t>E7FBCCA8</t>
  </si>
  <si>
    <t>5473FDE6</t>
  </si>
  <si>
    <t>89CF3BEF</t>
  </si>
  <si>
    <t>E57E9353</t>
  </si>
  <si>
    <t>7C185FF7</t>
  </si>
  <si>
    <t>9AA0FC6D</t>
  </si>
  <si>
    <t>10B51198</t>
  </si>
  <si>
    <t>FF0C4497</t>
  </si>
  <si>
    <t>4F95FA4D</t>
  </si>
  <si>
    <t>6A7CAFD2</t>
  </si>
  <si>
    <t>BF49A9F2</t>
  </si>
  <si>
    <t>FBAF7B94</t>
  </si>
  <si>
    <t>1E03EA5</t>
  </si>
  <si>
    <t>F9CF3CEF</t>
  </si>
  <si>
    <t>E273CEFB</t>
  </si>
  <si>
    <t>DF7C4E79</t>
  </si>
  <si>
    <t>3CEFBE27</t>
  </si>
  <si>
    <t>77C7DB8B</t>
  </si>
  <si>
    <t>EB57C8A5</t>
  </si>
  <si>
    <t>75050366</t>
  </si>
  <si>
    <t>28F4672E</t>
  </si>
  <si>
    <t>E1F6B519</t>
  </si>
  <si>
    <t>660CA8D1</t>
  </si>
  <si>
    <t>97AD5F22</t>
  </si>
  <si>
    <t>14BD6AF9</t>
  </si>
  <si>
    <t>ABE452F5</t>
  </si>
  <si>
    <t>988B80F2</t>
  </si>
  <si>
    <t>1EC46503</t>
  </si>
  <si>
    <t>79C71BEF</t>
  </si>
  <si>
    <t>DDF1F6E2</t>
  </si>
  <si>
    <t>DC5BBE3E</t>
  </si>
  <si>
    <t>1F6E2DDF</t>
  </si>
  <si>
    <t>D908458</t>
  </si>
  <si>
    <t>6654F771</t>
  </si>
  <si>
    <t>0D908458</t>
  </si>
  <si>
    <t>3B6F2663</t>
  </si>
  <si>
    <t>1CE21F0</t>
  </si>
  <si>
    <t>E37EC023</t>
  </si>
  <si>
    <t>B0ADE5F3</t>
  </si>
  <si>
    <t>C59953DD</t>
  </si>
  <si>
    <t>EE2CCA9E</t>
  </si>
  <si>
    <t>2A7BB8B3</t>
  </si>
  <si>
    <t>717CC96F</t>
  </si>
  <si>
    <t>63B52DA4</t>
  </si>
  <si>
    <t>DC79BCB</t>
  </si>
  <si>
    <t>3642116</t>
  </si>
  <si>
    <t>22C06C84</t>
  </si>
  <si>
    <t>42116036</t>
  </si>
  <si>
    <t>ACEBEFD2</t>
  </si>
  <si>
    <t>B5044362</t>
  </si>
  <si>
    <t>37A1772F</t>
  </si>
  <si>
    <t>64A300DF</t>
  </si>
  <si>
    <t>6E57CBE5</t>
  </si>
  <si>
    <t>D70DB0CD</t>
  </si>
  <si>
    <t>8AD4110D</t>
  </si>
  <si>
    <t>6C56A088</t>
  </si>
  <si>
    <t>8221B15A</t>
  </si>
  <si>
    <t>A7D4A5F2</t>
  </si>
  <si>
    <t>7A10D618</t>
  </si>
  <si>
    <t>2DC3CFDA</t>
  </si>
  <si>
    <t>AB3AFBF4</t>
  </si>
  <si>
    <t>7E95675F</t>
  </si>
  <si>
    <t>AFBF4AB3</t>
  </si>
  <si>
    <t>DF761D21</t>
  </si>
  <si>
    <t>C170B31E</t>
  </si>
  <si>
    <t>1CF77515</t>
  </si>
  <si>
    <t>A08463BA</t>
  </si>
  <si>
    <t>A7044763</t>
  </si>
  <si>
    <t>27CB75E3</t>
  </si>
  <si>
    <t>7B05C2CC</t>
  </si>
  <si>
    <t>63D82E16</t>
  </si>
  <si>
    <t>B8598F60</t>
  </si>
  <si>
    <t>D49A88D5</t>
  </si>
  <si>
    <t>46A7FB85</t>
  </si>
  <si>
    <t>8DF28D50</t>
  </si>
  <si>
    <t>77DD8748</t>
  </si>
  <si>
    <t>E90EFBB0</t>
  </si>
  <si>
    <t>D874877D</t>
  </si>
  <si>
    <t>F191FDEA</t>
  </si>
  <si>
    <t>94BF50A0</t>
  </si>
  <si>
    <t>24890704</t>
  </si>
  <si>
    <t>C9E83AE2</t>
  </si>
  <si>
    <t>A1301342</t>
  </si>
  <si>
    <t>8BAF6FCC</t>
  </si>
  <si>
    <t>8252FD42</t>
  </si>
  <si>
    <t>141297EA</t>
  </si>
  <si>
    <t>5FA8504A</t>
  </si>
  <si>
    <t>12B85615</t>
  </si>
  <si>
    <t>14C45833</t>
  </si>
  <si>
    <t>FDF3FDE2</t>
  </si>
  <si>
    <t>BC647F7A</t>
  </si>
  <si>
    <t>EF578C8F</t>
  </si>
  <si>
    <t>47F7ABC6</t>
  </si>
  <si>
    <t>37415D19</t>
  </si>
  <si>
    <t>32198B5C</t>
  </si>
  <si>
    <t>242E51B</t>
  </si>
  <si>
    <t>178B8B05</t>
  </si>
  <si>
    <t>D1793002</t>
  </si>
  <si>
    <t>92A6FE99</t>
  </si>
  <si>
    <t>70C8662D</t>
  </si>
  <si>
    <t>6B864331</t>
  </si>
  <si>
    <t>CC5AE19</t>
  </si>
  <si>
    <t>97BEE6BA</t>
  </si>
  <si>
    <t>A06D8991</t>
  </si>
  <si>
    <t>F7515D29</t>
  </si>
  <si>
    <t>4DD05746</t>
  </si>
  <si>
    <t>E8C9BA0A</t>
  </si>
  <si>
    <t>57464DD</t>
  </si>
  <si>
    <t>9A01CBD5</t>
  </si>
  <si>
    <t>AF2ED4ED</t>
  </si>
  <si>
    <t>4F5A773F</t>
  </si>
  <si>
    <t>BC63285E</t>
  </si>
  <si>
    <t>3299804C</t>
  </si>
  <si>
    <t>C8541553</t>
  </si>
  <si>
    <t>B6BCBB53</t>
  </si>
  <si>
    <t>9DB5E5DA</t>
  </si>
  <si>
    <t>976A76D7</t>
  </si>
  <si>
    <t>F205D26C</t>
  </si>
  <si>
    <t>3F03F493</t>
  </si>
  <si>
    <t>B301DDD9</t>
  </si>
  <si>
    <t>668072F5</t>
  </si>
  <si>
    <t>5EACD00E</t>
  </si>
  <si>
    <t>72F5668</t>
  </si>
  <si>
    <t>416049AB</t>
  </si>
  <si>
    <t>2ED09460</t>
  </si>
  <si>
    <t>56181431</t>
  </si>
  <si>
    <t>64F4A854</t>
  </si>
  <si>
    <t>3E099F7C</t>
  </si>
  <si>
    <t>2A4C463C</t>
  </si>
  <si>
    <t>80BB4251</t>
  </si>
  <si>
    <t>8C05DA12</t>
  </si>
  <si>
    <t>684A3017</t>
  </si>
  <si>
    <t>2F65FE06</t>
  </si>
  <si>
    <t>1C24B46D</t>
  </si>
  <si>
    <t>13414999</t>
  </si>
  <si>
    <t>D058126A</t>
  </si>
  <si>
    <t>4D5A0B02</t>
  </si>
  <si>
    <t>8126AD05</t>
  </si>
  <si>
    <t>857E1237</t>
  </si>
  <si>
    <t>47AA121B</t>
  </si>
  <si>
    <t>F17081CC</t>
  </si>
  <si>
    <t>FB7F50A9</t>
  </si>
  <si>
    <t>AE84D4E4</t>
  </si>
  <si>
    <t>04E83073</t>
  </si>
  <si>
    <t>6D1EA848</t>
  </si>
  <si>
    <t>4368F542</t>
  </si>
  <si>
    <t>D5090DA3</t>
  </si>
  <si>
    <t>A0BBD1F</t>
  </si>
  <si>
    <t>88AB7168</t>
  </si>
  <si>
    <t>81604BB7</t>
  </si>
  <si>
    <t>E15F848D</t>
  </si>
  <si>
    <t>91BC2BF0</t>
  </si>
  <si>
    <t>F848DE15</t>
  </si>
  <si>
    <t>FB7C3EEB</t>
  </si>
  <si>
    <t>28B1DEE5</t>
  </si>
  <si>
    <t>CDB7D82C</t>
  </si>
  <si>
    <t>10E8A3D4</t>
  </si>
  <si>
    <t>6E01201</t>
  </si>
  <si>
    <t>ED1B8C54</t>
  </si>
  <si>
    <t>94A2C77B</t>
  </si>
  <si>
    <t>DCA5163B</t>
  </si>
  <si>
    <t>58EF7294</t>
  </si>
  <si>
    <t>BAF79661</t>
  </si>
  <si>
    <t>F97B7BB6</t>
  </si>
  <si>
    <t>C17C1AAB</t>
  </si>
  <si>
    <t>FEDF0FBA</t>
  </si>
  <si>
    <t>F75FDBE1</t>
  </si>
  <si>
    <t>F0FBAFED</t>
  </si>
  <si>
    <t>88AF6E8D</t>
  </si>
  <si>
    <t>67B9A401</t>
  </si>
  <si>
    <t>7617B048</t>
  </si>
  <si>
    <t>59601117</t>
  </si>
  <si>
    <t>20B3961B</t>
  </si>
  <si>
    <t>AEFC08AE</t>
  </si>
  <si>
    <t>59EE690</t>
  </si>
  <si>
    <t>802CF734</t>
  </si>
  <si>
    <t>DCD200B3</t>
  </si>
  <si>
    <t>357BE7A9</t>
  </si>
  <si>
    <t>ABFDA8FA</t>
  </si>
  <si>
    <t>897E3EAF</t>
  </si>
  <si>
    <t>622BDBA3</t>
  </si>
  <si>
    <t>746C457B</t>
  </si>
  <si>
    <t>BDBA3622</t>
  </si>
  <si>
    <t>AB9397F1</t>
  </si>
  <si>
    <t>B777F9F3</t>
  </si>
  <si>
    <t>7B9B9295</t>
  </si>
  <si>
    <t>4B57C8C3</t>
  </si>
  <si>
    <t>2FB1A605</t>
  </si>
  <si>
    <t>919F9A66</t>
  </si>
  <si>
    <t>CEDDDFE7</t>
  </si>
  <si>
    <t>3E76EEFF</t>
  </si>
  <si>
    <t>BBFCF9DB</t>
  </si>
  <si>
    <t>46F5BEB7</t>
  </si>
  <si>
    <t>9B367FCE</t>
  </si>
  <si>
    <t>ABBF3EE9</t>
  </si>
  <si>
    <t>6AE4E5FC</t>
  </si>
  <si>
    <t>BF8D5C9C</t>
  </si>
  <si>
    <t>4E5FC6AE</t>
  </si>
  <si>
    <t>C291514C</t>
  </si>
  <si>
    <t>119A4CC</t>
  </si>
  <si>
    <t>0119A4CC</t>
  </si>
  <si>
    <t>AC19F3E5</t>
  </si>
  <si>
    <t>255623A7</t>
  </si>
  <si>
    <t>67B1A0C1</t>
  </si>
  <si>
    <t>C1AF93E3</t>
  </si>
  <si>
    <t>30046693</t>
  </si>
  <si>
    <t>99802334</t>
  </si>
  <si>
    <t>8CD26600</t>
  </si>
  <si>
    <t>8A1ACBA0</t>
  </si>
  <si>
    <t>FF8773D3</t>
  </si>
  <si>
    <t>8A9357CD</t>
  </si>
  <si>
    <t>30A45453</t>
  </si>
  <si>
    <t>8A66148A</t>
  </si>
  <si>
    <t>4545330A</t>
  </si>
  <si>
    <t>3634BF85</t>
  </si>
  <si>
    <t>A79632D0</t>
  </si>
  <si>
    <t>F5ECC1AF</t>
  </si>
  <si>
    <t>D393C25E</t>
  </si>
  <si>
    <t>1171E9E3</t>
  </si>
  <si>
    <t>701164BA</t>
  </si>
  <si>
    <t>429E58CB</t>
  </si>
  <si>
    <t>5A14F2C6</t>
  </si>
  <si>
    <t>CB196853</t>
  </si>
  <si>
    <t>5EC2261</t>
  </si>
  <si>
    <t>635A8A9C</t>
  </si>
  <si>
    <t>A29197C5</t>
  </si>
  <si>
    <t>4D8D2FE1</t>
  </si>
  <si>
    <t>FC29B1A5</t>
  </si>
  <si>
    <t>D2FE14D8</t>
  </si>
  <si>
    <t>FBD8E410</t>
  </si>
  <si>
    <t>7E9C303C</t>
  </si>
  <si>
    <t>D4389059</t>
  </si>
  <si>
    <t>B86DBD79</t>
  </si>
  <si>
    <t>2795B4D0</t>
  </si>
  <si>
    <t>EDE479D3</t>
  </si>
  <si>
    <t>F1FA70C0</t>
  </si>
  <si>
    <t>78FD386</t>
  </si>
  <si>
    <t>4E181E3F</t>
  </si>
  <si>
    <t>70729930</t>
  </si>
  <si>
    <t>7DE1A42C</t>
  </si>
  <si>
    <t>F290F504</t>
  </si>
  <si>
    <t>3EF63904</t>
  </si>
  <si>
    <t>2087DEC7</t>
  </si>
  <si>
    <t>639043EF</t>
  </si>
  <si>
    <t>44AB2989</t>
  </si>
  <si>
    <t>7FCC284A</t>
  </si>
  <si>
    <t>48FE4AF3</t>
  </si>
  <si>
    <t>C6A4EC1B</t>
  </si>
  <si>
    <t>FE9E3298</t>
  </si>
  <si>
    <t>2704BD25</t>
  </si>
  <si>
    <t>29FF30A1</t>
  </si>
  <si>
    <t>94FF985</t>
  </si>
  <si>
    <t>E614253F</t>
  </si>
  <si>
    <t>287F77AA</t>
  </si>
  <si>
    <t>B1C6CA29</t>
  </si>
  <si>
    <t>76B8AD81</t>
  </si>
  <si>
    <t>512ACA62</t>
  </si>
  <si>
    <t>4C4A2559</t>
  </si>
  <si>
    <t>ACA62512</t>
  </si>
  <si>
    <t>717DC29D</t>
  </si>
  <si>
    <t>B8F9C3F</t>
  </si>
  <si>
    <t>0B8F9C3F</t>
  </si>
  <si>
    <t>DA7B4DA6</t>
  </si>
  <si>
    <t>BC015006</t>
  </si>
  <si>
    <t>7F9C280A</t>
  </si>
  <si>
    <t>8F1932D3</t>
  </si>
  <si>
    <t>FC2E3E70</t>
  </si>
  <si>
    <t>87E171F3</t>
  </si>
  <si>
    <t>C7CE1F85</t>
  </si>
  <si>
    <t>31B86F25</t>
  </si>
  <si>
    <t>BFBE8E8C</t>
  </si>
  <si>
    <t>71F9E099</t>
  </si>
  <si>
    <t>5C5F70A7</t>
  </si>
  <si>
    <t>14EB8BEE</t>
  </si>
  <si>
    <t>F70A75C5</t>
  </si>
  <si>
    <t>C33BCCB</t>
  </si>
  <si>
    <t>10B00D2B</t>
  </si>
  <si>
    <t>0C33BCCB</t>
  </si>
  <si>
    <t>CA84E0FB</t>
  </si>
  <si>
    <t>512643BD</t>
  </si>
  <si>
    <t>6FCC2C6B</t>
  </si>
  <si>
    <t>1666BDA9</t>
  </si>
  <si>
    <t>AC42C034</t>
  </si>
  <si>
    <t>A5621601</t>
  </si>
  <si>
    <t>58069588</t>
  </si>
  <si>
    <t>2FE34B28</t>
  </si>
  <si>
    <t>EBA7A29F</t>
  </si>
  <si>
    <t>443BA889</t>
  </si>
  <si>
    <t>C30CEF32</t>
  </si>
  <si>
    <t>E658619D</t>
  </si>
  <si>
    <t>CEF32C30</t>
  </si>
  <si>
    <t>FA682C23</t>
  </si>
  <si>
    <t>C65DC50B</t>
  </si>
  <si>
    <t>EA12CF42</t>
  </si>
  <si>
    <t>A083394F</t>
  </si>
  <si>
    <t>9921D3F</t>
  </si>
  <si>
    <t>478BECFB</t>
  </si>
  <si>
    <t>2F197714</t>
  </si>
  <si>
    <t>A178CBB8</t>
  </si>
  <si>
    <t>2EE285E3</t>
  </si>
  <si>
    <t>B7AF042B</t>
  </si>
  <si>
    <t>3F3557A0</t>
  </si>
  <si>
    <t>7879AC8B</t>
  </si>
  <si>
    <t>FE9A0B08</t>
  </si>
  <si>
    <t>611FD341</t>
  </si>
  <si>
    <t>A0B08FE9</t>
  </si>
  <si>
    <t>A1C1D36D</t>
  </si>
  <si>
    <t>2EBDF8CB</t>
  </si>
  <si>
    <t>D809EB2C</t>
  </si>
  <si>
    <t>6B2345CB</t>
  </si>
  <si>
    <t>161DC52B</t>
  </si>
  <si>
    <t>C670CBE3</t>
  </si>
  <si>
    <t>2CBAF7E3</t>
  </si>
  <si>
    <t>1965D7BF</t>
  </si>
  <si>
    <t>5EFC6597</t>
  </si>
  <si>
    <t>9CB288BD</t>
  </si>
  <si>
    <t>F450CC52</t>
  </si>
  <si>
    <t>A861BC6B</t>
  </si>
  <si>
    <t>687074DB</t>
  </si>
  <si>
    <t>9B6D0E0E</t>
  </si>
  <si>
    <t>74DB687</t>
  </si>
  <si>
    <t>74BC73E9</t>
  </si>
  <si>
    <t>4987ADC9</t>
  </si>
  <si>
    <t>B2BAB7C0</t>
  </si>
  <si>
    <t>5FD9CAE6</t>
  </si>
  <si>
    <t>8EDDE8CB</t>
  </si>
  <si>
    <t>268BF4DC</t>
  </si>
  <si>
    <t>25261EB7</t>
  </si>
  <si>
    <t>B92930F5</t>
  </si>
  <si>
    <t>C3D6E4A4</t>
  </si>
  <si>
    <t>24939034</t>
  </si>
  <si>
    <t>33AB1CCB</t>
  </si>
  <si>
    <t>F0E87369</t>
  </si>
  <si>
    <t>5D2F1CFA</t>
  </si>
  <si>
    <t>9F4BA5E3</t>
  </si>
  <si>
    <t>F1CFA5D2</t>
  </si>
  <si>
    <t>D74E47F4</t>
  </si>
  <si>
    <t>BEEE748B</t>
  </si>
  <si>
    <t>E180EC56</t>
  </si>
  <si>
    <t>C8B621C3</t>
  </si>
  <si>
    <t>897ACC9</t>
  </si>
  <si>
    <t>B91658C5</t>
  </si>
  <si>
    <t>2EFBB9D2</t>
  </si>
  <si>
    <t>9177DDCE</t>
  </si>
  <si>
    <t>773A45DF</t>
  </si>
  <si>
    <t>29374CBF</t>
  </si>
  <si>
    <t>336AF8D2</t>
  </si>
  <si>
    <t>F5CC53ED</t>
  </si>
  <si>
    <t>35D391FD</t>
  </si>
  <si>
    <t>3FA6BA72</t>
  </si>
  <si>
    <t>391FD35D</t>
  </si>
  <si>
    <t>AB83915</t>
  </si>
  <si>
    <t>DBE91879</t>
  </si>
  <si>
    <t>0AB83915</t>
  </si>
  <si>
    <t>6BBD23A7</t>
  </si>
  <si>
    <t>1CD8E5AF</t>
  </si>
  <si>
    <t>9AEEB589</t>
  </si>
  <si>
    <t>E0E722B9</t>
  </si>
  <si>
    <t>E76FA461</t>
  </si>
  <si>
    <t>F3B7D23</t>
  </si>
  <si>
    <t>F48C3CED</t>
  </si>
  <si>
    <t>C19E83A3</t>
  </si>
  <si>
    <t>6AE20FAE</t>
  </si>
  <si>
    <t>56BC73F5</t>
  </si>
  <si>
    <t>42AE0E45</t>
  </si>
  <si>
    <t>C8A855C1</t>
  </si>
  <si>
    <t>E0E4542A</t>
  </si>
  <si>
    <t>2D5BA74A</t>
  </si>
  <si>
    <t>D7EF714</t>
  </si>
  <si>
    <t>0D7EF714</t>
  </si>
  <si>
    <t>5D7AFF01</t>
  </si>
  <si>
    <t>DCFDE04</t>
  </si>
  <si>
    <t>BBE8109B</t>
  </si>
  <si>
    <t>8B41BEA2</t>
  </si>
  <si>
    <t>5035FBDC</t>
  </si>
  <si>
    <t>E281AFDE</t>
  </si>
  <si>
    <t>BF7B8A06</t>
  </si>
  <si>
    <t>EEF4D30E</t>
  </si>
  <si>
    <t>DF9AABBA</t>
  </si>
  <si>
    <t>F5A2754</t>
  </si>
  <si>
    <t>8B56E9D2</t>
  </si>
  <si>
    <t>3A516ADD</t>
  </si>
  <si>
    <t>6E9D28B5</t>
  </si>
  <si>
    <t>4C6FD20F</t>
  </si>
  <si>
    <t>D23772EA</t>
  </si>
  <si>
    <t>64F9B771</t>
  </si>
  <si>
    <t>EDABEE4C</t>
  </si>
  <si>
    <t>9FE7A11</t>
  </si>
  <si>
    <t>E7EF6197</t>
  </si>
  <si>
    <t>AB48DDCB</t>
  </si>
  <si>
    <t>5D5A46EE</t>
  </si>
  <si>
    <t>1BB97569</t>
  </si>
  <si>
    <t>8A55DDB</t>
  </si>
  <si>
    <t>FC29AACC</t>
  </si>
  <si>
    <t>C7BB30F</t>
  </si>
  <si>
    <t>D31BF483</t>
  </si>
  <si>
    <t>907A637E</t>
  </si>
  <si>
    <t>BF483D31</t>
  </si>
  <si>
    <t>6D9F154C</t>
  </si>
  <si>
    <t>3C47FF65</t>
  </si>
  <si>
    <t>최종</t>
  </si>
  <si>
    <t>해시값 H64</t>
  </si>
  <si>
    <t>이전 해시값 H0</t>
  </si>
  <si>
    <t>최종 해시값</t>
  </si>
  <si>
    <t>3F5BDAF</t>
    <phoneticPr fontId="4" type="noConversion"/>
  </si>
  <si>
    <t>FD6F6BC0</t>
    <phoneticPr fontId="4" type="noConversion"/>
  </si>
  <si>
    <t>ED3047C2</t>
    <phoneticPr fontId="4" type="noConversion"/>
  </si>
  <si>
    <t>510e527f</t>
    <phoneticPr fontId="4" type="noConversion"/>
  </si>
  <si>
    <t>E095D14</t>
    <phoneticPr fontId="4" type="noConversion"/>
  </si>
  <si>
    <t>A281C12B</t>
    <phoneticPr fontId="4" type="noConversion"/>
  </si>
  <si>
    <t>95D140E0</t>
    <phoneticPr fontId="4" type="noConversion"/>
  </si>
  <si>
    <t>f=e</t>
    <phoneticPr fontId="4" type="noConversion"/>
  </si>
  <si>
    <t>DA827999</t>
    <phoneticPr fontId="4" type="noConversion"/>
  </si>
  <si>
    <t>333B504F</t>
    <phoneticPr fontId="4" type="noConversion"/>
  </si>
  <si>
    <t>27999DA8</t>
    <phoneticPr fontId="4" type="noConversion"/>
  </si>
  <si>
    <t>541C3B5B</t>
    <phoneticPr fontId="4" type="noConversion"/>
  </si>
  <si>
    <t>6B6A8387</t>
    <phoneticPr fontId="4" type="noConversion"/>
  </si>
  <si>
    <t>C3B5B541</t>
    <phoneticPr fontId="4" type="noConversion"/>
  </si>
  <si>
    <t>5070ED6D</t>
    <phoneticPr fontId="4" type="noConversion"/>
  </si>
  <si>
    <t>6a09e667</t>
    <phoneticPr fontId="4" type="noConversion"/>
  </si>
  <si>
    <t>bb67ae85</t>
    <phoneticPr fontId="4" type="noConversion"/>
  </si>
  <si>
    <t>3c6ef372</t>
    <phoneticPr fontId="4" type="noConversion"/>
  </si>
  <si>
    <t>3959DCDF</t>
    <phoneticPr fontId="4" type="noConversion"/>
  </si>
  <si>
    <t>7821E465</t>
    <phoneticPr fontId="4" type="noConversion"/>
  </si>
  <si>
    <t>E0E8B49E</t>
    <phoneticPr fontId="4" type="noConversion"/>
  </si>
  <si>
    <t>3060EC4C</t>
    <phoneticPr fontId="4" type="noConversion"/>
  </si>
  <si>
    <t>9b05688c</t>
    <phoneticPr fontId="4" type="noConversion"/>
  </si>
  <si>
    <t>ED2053FF</t>
    <phoneticPr fontId="4" type="noConversion"/>
  </si>
  <si>
    <t>30CEB98D</t>
    <phoneticPr fontId="4" type="noConversion"/>
  </si>
  <si>
    <t>75670B08</t>
    <phoneticPr fontId="4" type="noConversion"/>
  </si>
  <si>
    <t>CC5FF03C</t>
    <phoneticPr fontId="4" type="noConversion"/>
  </si>
  <si>
    <t>b5c0fbcf</t>
    <phoneticPr fontId="4" type="noConversion"/>
  </si>
  <si>
    <t>6B206272</t>
    <phoneticPr fontId="4" type="noConversion"/>
  </si>
  <si>
    <t>6D9F154C</t>
    <phoneticPr fontId="4" type="noConversion"/>
  </si>
  <si>
    <t>4C6FD20F</t>
    <phoneticPr fontId="4" type="noConversion"/>
  </si>
  <si>
    <t>37C9E592</t>
    <phoneticPr fontId="4" type="noConversion"/>
  </si>
  <si>
    <t>924268CA</t>
    <phoneticPr fontId="4" type="noConversion"/>
  </si>
  <si>
    <t>11A624BD</t>
    <phoneticPr fontId="4" type="noConversion"/>
  </si>
  <si>
    <t>25C81AF6</t>
    <phoneticPr fontId="4" type="noConversion"/>
  </si>
  <si>
    <t>1f83d9ab</t>
    <phoneticPr fontId="4" type="noConversion"/>
  </si>
  <si>
    <t>5be0cd19</t>
    <phoneticPr fontId="4" type="noConversion"/>
  </si>
  <si>
    <t>428a2f98</t>
    <phoneticPr fontId="4" type="noConversion"/>
  </si>
  <si>
    <t>h</t>
    <phoneticPr fontId="4" type="noConversion"/>
  </si>
  <si>
    <t xml:space="preserve">∑1(e) </t>
    <phoneticPr fontId="4" type="noConversion"/>
  </si>
  <si>
    <t>ch(e,f,g)</t>
    <phoneticPr fontId="4" type="noConversion"/>
  </si>
  <si>
    <t>Kt</t>
    <phoneticPr fontId="4" type="noConversion"/>
  </si>
  <si>
    <t>Wt</t>
    <phoneticPr fontId="4" type="noConversion"/>
  </si>
  <si>
    <t xml:space="preserve">∑0(a) </t>
    <phoneticPr fontId="4" type="noConversion"/>
  </si>
  <si>
    <t>Maj(a,b,c)</t>
    <phoneticPr fontId="4" type="noConversion"/>
  </si>
  <si>
    <t>The quick brown fox jumps over the lazy cog</t>
    <phoneticPr fontId="4" type="noConversion"/>
  </si>
  <si>
    <t>T1 : h+∑1(e) +ch(e,f,g)+Kt+Wt 이므로 다 더하는 함수를 사용하고,</t>
    <phoneticPr fontId="4" type="noConversion"/>
  </si>
  <si>
    <t>T2 : ∑0(a) +Maj(a,b,c) 이므로 두 개를 더하는 함수를 사용하고,</t>
    <phoneticPr fontId="4" type="noConversion"/>
  </si>
  <si>
    <t>RIGHT() 함수를 통해 8자리로 나오도록 출력</t>
    <phoneticPr fontId="4" type="noConversion"/>
  </si>
  <si>
    <t xml:space="preserve">큰시그마나 ch(e,f,g),Maj(a,b,c) 같은 경우 위의 나와있는 공식을 보고 </t>
    <phoneticPr fontId="4" type="noConversion"/>
  </si>
  <si>
    <t>BITXOR(), BITAND() 함수를 사용하여 값을 적는다.</t>
    <phoneticPr fontId="4" type="noConversion"/>
  </si>
  <si>
    <t>d에서 c로만 바뀌었는데 쇄도효과로 해시값이 완전히 바뀌었다.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</si>
</sst>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29"/>
    </font>
    <font>
      <sz val="8"/>
      <color rgb="FFFFFFFF"/>
      <name val="Courier New"/>
      <family val="3"/>
    </font>
    <font>
      <b/>
      <sz val="15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" fillId="4" borderId="2" applyNumberFormat="0" applyFont="0" applyAlignment="0" applyProtection="0">
      <alignment vertical="center"/>
    </xf>
  </cellStyleXfs>
  <cellXfs count="60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right" vertical="center"/>
    </xf>
    <xf numFmtId="0" fontId="8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9" fillId="3" borderId="3" xfId="2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5" borderId="4" xfId="0" applyFont="1" applyFill="1" applyBorder="1">
      <alignment vertical="center"/>
    </xf>
    <xf numFmtId="0" fontId="6" fillId="0" borderId="4" xfId="0" applyFont="1" applyBorder="1">
      <alignment vertical="center"/>
    </xf>
    <xf numFmtId="0" fontId="6" fillId="5" borderId="8" xfId="0" applyFont="1" applyFill="1" applyBorder="1">
      <alignment vertical="center"/>
    </xf>
    <xf numFmtId="0" fontId="6" fillId="0" borderId="8" xfId="0" applyFont="1" applyBorder="1">
      <alignment vertical="center"/>
    </xf>
    <xf numFmtId="0" fontId="9" fillId="0" borderId="3" xfId="2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/>
    </xf>
    <xf numFmtId="0" fontId="5" fillId="7" borderId="3" xfId="3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0" fillId="0" borderId="12" xfId="0" applyBorder="1">
      <alignment vertical="center"/>
    </xf>
    <xf numFmtId="0" fontId="0" fillId="0" borderId="0" xfId="0" applyAlignment="1">
      <alignment horizontal="left" vertical="center"/>
    </xf>
    <xf numFmtId="0" fontId="0" fillId="8" borderId="3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6" fillId="6" borderId="8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6" fillId="5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</cellXfs>
  <cellStyles count="4">
    <cellStyle name="계산" xfId="2" builtinId="22"/>
    <cellStyle name="메모" xfId="3" builtinId="10"/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171450</xdr:colOff>
      <xdr:row>26</xdr:row>
      <xdr:rowOff>0</xdr:rowOff>
    </xdr:from>
    <xdr:to>
      <xdr:col>49</xdr:col>
      <xdr:colOff>232408</xdr:colOff>
      <xdr:row>27</xdr:row>
      <xdr:rowOff>1814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3375" y="5495925"/>
          <a:ext cx="1727833" cy="205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19050</xdr:rowOff>
    </xdr:from>
    <xdr:to>
      <xdr:col>8</xdr:col>
      <xdr:colOff>581660</xdr:colOff>
      <xdr:row>4</xdr:row>
      <xdr:rowOff>171450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0" y="19050"/>
          <a:ext cx="2353310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workbookViewId="0">
      <selection activeCell="F17" sqref="F17"/>
    </sheetView>
  </sheetViews>
  <sheetFormatPr defaultRowHeight="17.399999999999999"/>
  <cols>
    <col min="2" max="2" width="18.59765625" bestFit="1" customWidth="1"/>
    <col min="8" max="8" width="10.5" customWidth="1"/>
  </cols>
  <sheetData>
    <row r="2" spans="2:11">
      <c r="B2" s="9" t="s">
        <v>3</v>
      </c>
      <c r="C2" s="40" t="s">
        <v>444</v>
      </c>
      <c r="D2" s="41"/>
      <c r="E2" s="41"/>
      <c r="F2" s="41"/>
      <c r="G2" s="41"/>
      <c r="H2" s="41"/>
      <c r="I2" s="41"/>
      <c r="J2" s="41"/>
      <c r="K2" s="42"/>
    </row>
    <row r="3" spans="2:11">
      <c r="B3" s="9" t="s">
        <v>0</v>
      </c>
      <c r="C3" s="10">
        <f>LEN(C2)</f>
        <v>43</v>
      </c>
      <c r="D3" s="11" t="s">
        <v>4</v>
      </c>
    </row>
    <row r="4" spans="2:11">
      <c r="B4" s="1"/>
      <c r="C4" s="1"/>
    </row>
    <row r="5" spans="2:11">
      <c r="B5" s="9" t="s">
        <v>1</v>
      </c>
      <c r="C5" s="12">
        <f>CEILING((C3+8) / 64, 1)</f>
        <v>1</v>
      </c>
      <c r="D5" s="13" t="s">
        <v>24</v>
      </c>
    </row>
    <row r="6" spans="2:11">
      <c r="B6" s="9" t="s">
        <v>2</v>
      </c>
      <c r="C6" s="40" t="str">
        <f>CONCATENATE(라운드연산!C584,라운드연산!D584,라운드연산!E584,라운드연산!F584,라운드연산!G584,라운드연산!H584,라운드연산!I584,라운드연산!J584)</f>
        <v>D7A8FBB37D7809469CA9ABCB0082E4F8D5651E46D3CDB762D02D0BF37C9E592</v>
      </c>
      <c r="D6" s="41"/>
      <c r="E6" s="41"/>
      <c r="F6" s="41"/>
      <c r="G6" s="41"/>
      <c r="H6" s="41"/>
      <c r="I6" s="41"/>
      <c r="J6" s="41"/>
      <c r="K6" s="42"/>
    </row>
    <row r="8" spans="2:11">
      <c r="B8" s="29" t="s">
        <v>439</v>
      </c>
      <c r="C8" s="43" t="s">
        <v>444</v>
      </c>
      <c r="D8" s="43"/>
      <c r="E8" s="43"/>
      <c r="F8" s="43"/>
      <c r="G8" s="43"/>
      <c r="H8" s="43"/>
      <c r="I8" s="43"/>
      <c r="J8" s="43"/>
      <c r="K8" s="43"/>
    </row>
    <row r="9" spans="2:11">
      <c r="B9" s="29" t="s">
        <v>441</v>
      </c>
      <c r="C9" s="43" t="s">
        <v>445</v>
      </c>
      <c r="D9" s="43"/>
      <c r="E9" s="43"/>
      <c r="F9" s="43"/>
      <c r="G9" s="43"/>
      <c r="H9" s="43"/>
      <c r="I9" s="43"/>
      <c r="J9" s="43"/>
      <c r="K9" s="43"/>
    </row>
    <row r="10" spans="2:11">
      <c r="B10" s="26"/>
      <c r="C10" s="1"/>
    </row>
    <row r="11" spans="2:11">
      <c r="B11" s="29" t="s">
        <v>440</v>
      </c>
      <c r="C11" s="43" t="s">
        <v>1481</v>
      </c>
      <c r="D11" s="43"/>
      <c r="E11" s="43"/>
      <c r="F11" s="43"/>
      <c r="G11" s="43"/>
      <c r="H11" s="43"/>
      <c r="I11" s="43"/>
      <c r="J11" s="43"/>
      <c r="K11" s="43"/>
    </row>
    <row r="12" spans="2:11">
      <c r="B12" s="29" t="s">
        <v>442</v>
      </c>
      <c r="C12" s="43" t="s">
        <v>443</v>
      </c>
      <c r="D12" s="43"/>
      <c r="E12" s="43"/>
      <c r="F12" s="43"/>
      <c r="G12" s="43"/>
      <c r="H12" s="43"/>
      <c r="I12" s="43"/>
      <c r="J12" s="43"/>
      <c r="K12" s="43"/>
    </row>
    <row r="14" spans="2:11" ht="24">
      <c r="B14" s="39" t="s">
        <v>1487</v>
      </c>
    </row>
  </sheetData>
  <mergeCells count="6">
    <mergeCell ref="C6:K6"/>
    <mergeCell ref="C2:K2"/>
    <mergeCell ref="C11:K11"/>
    <mergeCell ref="C12:K12"/>
    <mergeCell ref="C8:K8"/>
    <mergeCell ref="C9:K9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N29"/>
  <sheetViews>
    <sheetView topLeftCell="A9" workbookViewId="0">
      <selection activeCell="AU12" sqref="AU12"/>
    </sheetView>
  </sheetViews>
  <sheetFormatPr defaultRowHeight="17.399999999999999"/>
  <cols>
    <col min="1" max="1" width="9" style="3"/>
    <col min="2" max="2" width="18.09765625" customWidth="1"/>
    <col min="3" max="66" width="3.09765625" customWidth="1"/>
  </cols>
  <sheetData>
    <row r="2" spans="1:66" ht="21">
      <c r="B2" s="2" t="s">
        <v>18</v>
      </c>
      <c r="C2" s="1" t="s">
        <v>11</v>
      </c>
      <c r="BN2" t="s">
        <v>23</v>
      </c>
    </row>
    <row r="3" spans="1:66">
      <c r="C3" s="1" t="s">
        <v>22</v>
      </c>
    </row>
    <row r="4" spans="1:66">
      <c r="C4" s="1" t="s">
        <v>12</v>
      </c>
    </row>
    <row r="5" spans="1:66">
      <c r="C5" s="1" t="s">
        <v>13</v>
      </c>
    </row>
    <row r="7" spans="1:66">
      <c r="A7" s="7" t="s">
        <v>19</v>
      </c>
      <c r="B7" s="1" t="s">
        <v>14</v>
      </c>
      <c r="C7" s="1" t="str">
        <f>종합!C2</f>
        <v>The quick brown fox jumps over the lazy dog</v>
      </c>
    </row>
    <row r="8" spans="1:66">
      <c r="B8" s="1" t="s">
        <v>0</v>
      </c>
      <c r="C8" s="8">
        <f>종합!C3</f>
        <v>43</v>
      </c>
    </row>
    <row r="9" spans="1:66">
      <c r="B9" t="s">
        <v>5</v>
      </c>
      <c r="C9" s="5">
        <v>0</v>
      </c>
      <c r="D9" s="5">
        <v>1</v>
      </c>
      <c r="E9" s="5">
        <v>2</v>
      </c>
      <c r="F9" s="5">
        <v>3</v>
      </c>
      <c r="G9" s="5">
        <v>4</v>
      </c>
      <c r="H9" s="5">
        <v>5</v>
      </c>
      <c r="I9" s="5">
        <v>6</v>
      </c>
      <c r="J9" s="5">
        <v>7</v>
      </c>
      <c r="K9" s="5">
        <v>8</v>
      </c>
      <c r="L9" s="5">
        <v>9</v>
      </c>
      <c r="M9" s="5">
        <v>10</v>
      </c>
      <c r="N9" s="5">
        <v>11</v>
      </c>
      <c r="O9" s="5">
        <v>12</v>
      </c>
      <c r="P9" s="5">
        <v>13</v>
      </c>
      <c r="Q9" s="5">
        <v>14</v>
      </c>
      <c r="R9" s="5">
        <v>15</v>
      </c>
      <c r="S9" s="5">
        <v>16</v>
      </c>
      <c r="T9" s="5">
        <v>17</v>
      </c>
      <c r="U9" s="5">
        <v>18</v>
      </c>
      <c r="V9" s="5">
        <v>19</v>
      </c>
      <c r="W9" s="5">
        <v>20</v>
      </c>
      <c r="X9" s="5">
        <v>21</v>
      </c>
      <c r="Y9" s="5">
        <v>22</v>
      </c>
      <c r="Z9" s="5">
        <v>23</v>
      </c>
      <c r="AA9" s="5">
        <v>24</v>
      </c>
      <c r="AB9" s="5">
        <v>25</v>
      </c>
      <c r="AC9" s="5">
        <v>26</v>
      </c>
      <c r="AD9" s="5">
        <v>27</v>
      </c>
      <c r="AE9" s="5">
        <v>28</v>
      </c>
      <c r="AF9" s="5">
        <v>29</v>
      </c>
      <c r="AG9" s="5">
        <v>30</v>
      </c>
      <c r="AH9" s="5">
        <v>31</v>
      </c>
      <c r="AI9" s="5">
        <v>32</v>
      </c>
      <c r="AJ9" s="5">
        <v>33</v>
      </c>
      <c r="AK9" s="5">
        <v>34</v>
      </c>
      <c r="AL9" s="5">
        <v>35</v>
      </c>
      <c r="AM9" s="5">
        <v>36</v>
      </c>
      <c r="AN9" s="5">
        <v>37</v>
      </c>
      <c r="AO9" s="5">
        <v>38</v>
      </c>
      <c r="AP9" s="5">
        <v>39</v>
      </c>
      <c r="AQ9" s="5">
        <v>40</v>
      </c>
      <c r="AR9" s="5">
        <v>41</v>
      </c>
      <c r="AS9" s="5">
        <v>42</v>
      </c>
      <c r="AT9" s="5">
        <v>43</v>
      </c>
      <c r="AU9" s="5">
        <v>44</v>
      </c>
      <c r="AV9" s="5">
        <v>45</v>
      </c>
      <c r="AW9" s="5">
        <v>46</v>
      </c>
      <c r="AX9" s="5">
        <v>47</v>
      </c>
      <c r="AY9" s="5">
        <v>48</v>
      </c>
      <c r="AZ9" s="5">
        <v>49</v>
      </c>
      <c r="BA9" s="5">
        <v>50</v>
      </c>
      <c r="BB9" s="5">
        <v>51</v>
      </c>
      <c r="BC9" s="5">
        <v>52</v>
      </c>
      <c r="BD9" s="5">
        <v>53</v>
      </c>
      <c r="BE9" s="5">
        <v>54</v>
      </c>
      <c r="BF9" s="5">
        <v>55</v>
      </c>
      <c r="BG9" s="5">
        <v>56</v>
      </c>
      <c r="BH9" s="5">
        <v>57</v>
      </c>
      <c r="BI9" s="5">
        <v>58</v>
      </c>
      <c r="BJ9" s="5">
        <v>59</v>
      </c>
      <c r="BK9" s="5">
        <v>60</v>
      </c>
      <c r="BL9" s="5">
        <v>61</v>
      </c>
      <c r="BM9" s="5">
        <v>62</v>
      </c>
      <c r="BN9" s="5">
        <v>63</v>
      </c>
    </row>
    <row r="10" spans="1:66">
      <c r="B10" t="s">
        <v>6</v>
      </c>
      <c r="C10" s="5">
        <f>IF($C8&gt;C9,4,0)</f>
        <v>4</v>
      </c>
      <c r="D10" s="5">
        <f t="shared" ref="D10:BN10" si="0">IF($C8&gt;D9,4,0)</f>
        <v>4</v>
      </c>
      <c r="E10" s="5">
        <f t="shared" si="0"/>
        <v>4</v>
      </c>
      <c r="F10" s="5">
        <f t="shared" si="0"/>
        <v>4</v>
      </c>
      <c r="G10" s="5">
        <f t="shared" si="0"/>
        <v>4</v>
      </c>
      <c r="H10" s="5">
        <f t="shared" si="0"/>
        <v>4</v>
      </c>
      <c r="I10" s="5">
        <f t="shared" si="0"/>
        <v>4</v>
      </c>
      <c r="J10" s="5">
        <f t="shared" si="0"/>
        <v>4</v>
      </c>
      <c r="K10" s="5">
        <f t="shared" si="0"/>
        <v>4</v>
      </c>
      <c r="L10" s="5">
        <f t="shared" si="0"/>
        <v>4</v>
      </c>
      <c r="M10" s="5">
        <f t="shared" si="0"/>
        <v>4</v>
      </c>
      <c r="N10" s="5">
        <f t="shared" si="0"/>
        <v>4</v>
      </c>
      <c r="O10" s="5">
        <f t="shared" si="0"/>
        <v>4</v>
      </c>
      <c r="P10" s="5">
        <f t="shared" si="0"/>
        <v>4</v>
      </c>
      <c r="Q10" s="5">
        <f t="shared" si="0"/>
        <v>4</v>
      </c>
      <c r="R10" s="5">
        <f t="shared" si="0"/>
        <v>4</v>
      </c>
      <c r="S10" s="5">
        <f t="shared" si="0"/>
        <v>4</v>
      </c>
      <c r="T10" s="5">
        <f t="shared" si="0"/>
        <v>4</v>
      </c>
      <c r="U10" s="5">
        <f t="shared" si="0"/>
        <v>4</v>
      </c>
      <c r="V10" s="5">
        <f t="shared" si="0"/>
        <v>4</v>
      </c>
      <c r="W10" s="5">
        <f t="shared" si="0"/>
        <v>4</v>
      </c>
      <c r="X10" s="5">
        <f t="shared" si="0"/>
        <v>4</v>
      </c>
      <c r="Y10" s="5">
        <f t="shared" si="0"/>
        <v>4</v>
      </c>
      <c r="Z10" s="5">
        <f t="shared" si="0"/>
        <v>4</v>
      </c>
      <c r="AA10" s="5">
        <f t="shared" si="0"/>
        <v>4</v>
      </c>
      <c r="AB10" s="5">
        <f t="shared" si="0"/>
        <v>4</v>
      </c>
      <c r="AC10" s="5">
        <f t="shared" si="0"/>
        <v>4</v>
      </c>
      <c r="AD10" s="5">
        <f t="shared" si="0"/>
        <v>4</v>
      </c>
      <c r="AE10" s="5">
        <f t="shared" si="0"/>
        <v>4</v>
      </c>
      <c r="AF10" s="5">
        <f t="shared" si="0"/>
        <v>4</v>
      </c>
      <c r="AG10" s="5">
        <f t="shared" si="0"/>
        <v>4</v>
      </c>
      <c r="AH10" s="5">
        <f t="shared" si="0"/>
        <v>4</v>
      </c>
      <c r="AI10" s="5">
        <f t="shared" si="0"/>
        <v>4</v>
      </c>
      <c r="AJ10" s="5">
        <f t="shared" si="0"/>
        <v>4</v>
      </c>
      <c r="AK10" s="5">
        <f t="shared" si="0"/>
        <v>4</v>
      </c>
      <c r="AL10" s="5">
        <f t="shared" si="0"/>
        <v>4</v>
      </c>
      <c r="AM10" s="5">
        <f t="shared" si="0"/>
        <v>4</v>
      </c>
      <c r="AN10" s="5">
        <f t="shared" si="0"/>
        <v>4</v>
      </c>
      <c r="AO10" s="5">
        <f t="shared" si="0"/>
        <v>4</v>
      </c>
      <c r="AP10" s="5">
        <f t="shared" si="0"/>
        <v>4</v>
      </c>
      <c r="AQ10" s="5">
        <f t="shared" si="0"/>
        <v>4</v>
      </c>
      <c r="AR10" s="5">
        <f t="shared" si="0"/>
        <v>4</v>
      </c>
      <c r="AS10" s="5">
        <f t="shared" si="0"/>
        <v>4</v>
      </c>
      <c r="AT10" s="5">
        <f t="shared" si="0"/>
        <v>0</v>
      </c>
      <c r="AU10" s="5">
        <f t="shared" si="0"/>
        <v>0</v>
      </c>
      <c r="AV10" s="5">
        <f t="shared" si="0"/>
        <v>0</v>
      </c>
      <c r="AW10" s="5">
        <f t="shared" si="0"/>
        <v>0</v>
      </c>
      <c r="AX10" s="5">
        <f t="shared" si="0"/>
        <v>0</v>
      </c>
      <c r="AY10" s="5">
        <f t="shared" si="0"/>
        <v>0</v>
      </c>
      <c r="AZ10" s="5">
        <f t="shared" si="0"/>
        <v>0</v>
      </c>
      <c r="BA10" s="5">
        <f t="shared" si="0"/>
        <v>0</v>
      </c>
      <c r="BB10" s="5">
        <f t="shared" si="0"/>
        <v>0</v>
      </c>
      <c r="BC10" s="5">
        <f t="shared" si="0"/>
        <v>0</v>
      </c>
      <c r="BD10" s="5">
        <f t="shared" si="0"/>
        <v>0</v>
      </c>
      <c r="BE10" s="5">
        <f t="shared" si="0"/>
        <v>0</v>
      </c>
      <c r="BF10" s="5">
        <f t="shared" si="0"/>
        <v>0</v>
      </c>
      <c r="BG10" s="5">
        <f t="shared" si="0"/>
        <v>0</v>
      </c>
      <c r="BH10" s="5">
        <f t="shared" si="0"/>
        <v>0</v>
      </c>
      <c r="BI10" s="5">
        <f t="shared" si="0"/>
        <v>0</v>
      </c>
      <c r="BJ10" s="5">
        <f t="shared" si="0"/>
        <v>0</v>
      </c>
      <c r="BK10" s="5">
        <f t="shared" si="0"/>
        <v>0</v>
      </c>
      <c r="BL10" s="5">
        <f t="shared" si="0"/>
        <v>0</v>
      </c>
      <c r="BM10" s="5">
        <f t="shared" si="0"/>
        <v>0</v>
      </c>
      <c r="BN10" s="5">
        <f t="shared" si="0"/>
        <v>0</v>
      </c>
    </row>
    <row r="11" spans="1:66">
      <c r="B11" t="s">
        <v>115</v>
      </c>
      <c r="C11" s="5">
        <f>IF(AND(LEN($C7)=C9,$BN2&lt;&gt;2,$BN2&lt;&gt;1,$BN2&lt;&gt;0),3,0)</f>
        <v>0</v>
      </c>
      <c r="D11" s="5">
        <f t="shared" ref="D11:BN11" si="1">IF(AND(LEN($C7)=D9,$BN2&lt;&gt;2,$BN2&lt;&gt;1,$BN2&lt;&gt;0),3,0)</f>
        <v>0</v>
      </c>
      <c r="E11" s="5">
        <f t="shared" si="1"/>
        <v>0</v>
      </c>
      <c r="F11" s="5">
        <f t="shared" si="1"/>
        <v>0</v>
      </c>
      <c r="G11" s="5">
        <f t="shared" si="1"/>
        <v>0</v>
      </c>
      <c r="H11" s="5">
        <f t="shared" si="1"/>
        <v>0</v>
      </c>
      <c r="I11" s="5">
        <f t="shared" si="1"/>
        <v>0</v>
      </c>
      <c r="J11" s="5">
        <f t="shared" si="1"/>
        <v>0</v>
      </c>
      <c r="K11" s="5">
        <f t="shared" si="1"/>
        <v>0</v>
      </c>
      <c r="L11" s="5">
        <f t="shared" si="1"/>
        <v>0</v>
      </c>
      <c r="M11" s="5">
        <f t="shared" si="1"/>
        <v>0</v>
      </c>
      <c r="N11" s="5">
        <f t="shared" si="1"/>
        <v>0</v>
      </c>
      <c r="O11" s="5">
        <f t="shared" si="1"/>
        <v>0</v>
      </c>
      <c r="P11" s="5">
        <f t="shared" si="1"/>
        <v>0</v>
      </c>
      <c r="Q11" s="5">
        <f t="shared" si="1"/>
        <v>0</v>
      </c>
      <c r="R11" s="5">
        <f t="shared" si="1"/>
        <v>0</v>
      </c>
      <c r="S11" s="5">
        <f t="shared" si="1"/>
        <v>0</v>
      </c>
      <c r="T11" s="5">
        <f t="shared" si="1"/>
        <v>0</v>
      </c>
      <c r="U11" s="5">
        <f t="shared" si="1"/>
        <v>0</v>
      </c>
      <c r="V11" s="5">
        <f t="shared" si="1"/>
        <v>0</v>
      </c>
      <c r="W11" s="5">
        <f t="shared" si="1"/>
        <v>0</v>
      </c>
      <c r="X11" s="5">
        <f t="shared" si="1"/>
        <v>0</v>
      </c>
      <c r="Y11" s="5">
        <f t="shared" si="1"/>
        <v>0</v>
      </c>
      <c r="Z11" s="5">
        <f t="shared" si="1"/>
        <v>0</v>
      </c>
      <c r="AA11" s="5">
        <f t="shared" si="1"/>
        <v>0</v>
      </c>
      <c r="AB11" s="5">
        <f t="shared" si="1"/>
        <v>0</v>
      </c>
      <c r="AC11" s="5">
        <f t="shared" si="1"/>
        <v>0</v>
      </c>
      <c r="AD11" s="5">
        <f t="shared" si="1"/>
        <v>0</v>
      </c>
      <c r="AE11" s="5">
        <f t="shared" si="1"/>
        <v>0</v>
      </c>
      <c r="AF11" s="5">
        <f t="shared" si="1"/>
        <v>0</v>
      </c>
      <c r="AG11" s="5">
        <f t="shared" si="1"/>
        <v>0</v>
      </c>
      <c r="AH11" s="5">
        <f t="shared" si="1"/>
        <v>0</v>
      </c>
      <c r="AI11" s="5">
        <f t="shared" si="1"/>
        <v>0</v>
      </c>
      <c r="AJ11" s="5">
        <f t="shared" si="1"/>
        <v>0</v>
      </c>
      <c r="AK11" s="5">
        <f t="shared" si="1"/>
        <v>0</v>
      </c>
      <c r="AL11" s="5">
        <f t="shared" si="1"/>
        <v>0</v>
      </c>
      <c r="AM11" s="5">
        <f t="shared" si="1"/>
        <v>0</v>
      </c>
      <c r="AN11" s="5">
        <f t="shared" si="1"/>
        <v>0</v>
      </c>
      <c r="AO11" s="5">
        <f t="shared" si="1"/>
        <v>0</v>
      </c>
      <c r="AP11" s="5">
        <f t="shared" si="1"/>
        <v>0</v>
      </c>
      <c r="AQ11" s="5">
        <f t="shared" si="1"/>
        <v>0</v>
      </c>
      <c r="AR11" s="5">
        <f t="shared" si="1"/>
        <v>0</v>
      </c>
      <c r="AS11" s="5">
        <f t="shared" si="1"/>
        <v>0</v>
      </c>
      <c r="AT11" s="5">
        <f t="shared" si="1"/>
        <v>3</v>
      </c>
      <c r="AU11" s="5">
        <f t="shared" si="1"/>
        <v>0</v>
      </c>
      <c r="AV11" s="5">
        <f t="shared" si="1"/>
        <v>0</v>
      </c>
      <c r="AW11" s="5">
        <f t="shared" si="1"/>
        <v>0</v>
      </c>
      <c r="AX11" s="5">
        <f t="shared" si="1"/>
        <v>0</v>
      </c>
      <c r="AY11" s="5">
        <f t="shared" si="1"/>
        <v>0</v>
      </c>
      <c r="AZ11" s="5">
        <f t="shared" si="1"/>
        <v>0</v>
      </c>
      <c r="BA11" s="5">
        <f t="shared" si="1"/>
        <v>0</v>
      </c>
      <c r="BB11" s="5">
        <f t="shared" si="1"/>
        <v>0</v>
      </c>
      <c r="BC11" s="5">
        <f t="shared" si="1"/>
        <v>0</v>
      </c>
      <c r="BD11" s="5">
        <f t="shared" si="1"/>
        <v>0</v>
      </c>
      <c r="BE11" s="5">
        <f t="shared" si="1"/>
        <v>0</v>
      </c>
      <c r="BF11" s="5">
        <f t="shared" si="1"/>
        <v>0</v>
      </c>
      <c r="BG11" s="5">
        <f t="shared" si="1"/>
        <v>0</v>
      </c>
      <c r="BH11" s="5">
        <f t="shared" si="1"/>
        <v>0</v>
      </c>
      <c r="BI11" s="5">
        <f t="shared" si="1"/>
        <v>0</v>
      </c>
      <c r="BJ11" s="5">
        <f t="shared" si="1"/>
        <v>0</v>
      </c>
      <c r="BK11" s="5">
        <f t="shared" si="1"/>
        <v>0</v>
      </c>
      <c r="BL11" s="5">
        <f t="shared" si="1"/>
        <v>0</v>
      </c>
      <c r="BM11" s="5">
        <f t="shared" si="1"/>
        <v>0</v>
      </c>
      <c r="BN11" s="5">
        <f t="shared" si="1"/>
        <v>0</v>
      </c>
    </row>
    <row r="12" spans="1:66">
      <c r="B12" t="s">
        <v>7</v>
      </c>
      <c r="C12" s="5">
        <f t="shared" ref="C12:BF12" si="2">IF(OR(B11=3,B12=2),IF(MOD(C9,8)=0,0,2),0)</f>
        <v>0</v>
      </c>
      <c r="D12" s="5">
        <f t="shared" si="2"/>
        <v>0</v>
      </c>
      <c r="E12" s="5">
        <f t="shared" si="2"/>
        <v>0</v>
      </c>
      <c r="F12" s="5">
        <f t="shared" si="2"/>
        <v>0</v>
      </c>
      <c r="G12" s="5">
        <f t="shared" si="2"/>
        <v>0</v>
      </c>
      <c r="H12" s="5">
        <f t="shared" si="2"/>
        <v>0</v>
      </c>
      <c r="I12" s="5">
        <f t="shared" si="2"/>
        <v>0</v>
      </c>
      <c r="J12" s="5">
        <f t="shared" si="2"/>
        <v>0</v>
      </c>
      <c r="K12" s="5">
        <f t="shared" si="2"/>
        <v>0</v>
      </c>
      <c r="L12" s="5">
        <f t="shared" si="2"/>
        <v>0</v>
      </c>
      <c r="M12" s="5">
        <f t="shared" si="2"/>
        <v>0</v>
      </c>
      <c r="N12" s="5">
        <f t="shared" si="2"/>
        <v>0</v>
      </c>
      <c r="O12" s="5">
        <f t="shared" si="2"/>
        <v>0</v>
      </c>
      <c r="P12" s="5">
        <f t="shared" si="2"/>
        <v>0</v>
      </c>
      <c r="Q12" s="5">
        <f t="shared" si="2"/>
        <v>0</v>
      </c>
      <c r="R12" s="5">
        <f t="shared" si="2"/>
        <v>0</v>
      </c>
      <c r="S12" s="5">
        <f t="shared" si="2"/>
        <v>0</v>
      </c>
      <c r="T12" s="5">
        <f t="shared" si="2"/>
        <v>0</v>
      </c>
      <c r="U12" s="5">
        <f t="shared" si="2"/>
        <v>0</v>
      </c>
      <c r="V12" s="5">
        <f t="shared" si="2"/>
        <v>0</v>
      </c>
      <c r="W12" s="5">
        <f t="shared" si="2"/>
        <v>0</v>
      </c>
      <c r="X12" s="5">
        <f t="shared" si="2"/>
        <v>0</v>
      </c>
      <c r="Y12" s="5">
        <f t="shared" si="2"/>
        <v>0</v>
      </c>
      <c r="Z12" s="5">
        <f t="shared" si="2"/>
        <v>0</v>
      </c>
      <c r="AA12" s="5">
        <f t="shared" si="2"/>
        <v>0</v>
      </c>
      <c r="AB12" s="5">
        <f t="shared" si="2"/>
        <v>0</v>
      </c>
      <c r="AC12" s="5">
        <f t="shared" si="2"/>
        <v>0</v>
      </c>
      <c r="AD12" s="5">
        <f t="shared" si="2"/>
        <v>0</v>
      </c>
      <c r="AE12" s="5">
        <f t="shared" si="2"/>
        <v>0</v>
      </c>
      <c r="AF12" s="5">
        <f t="shared" si="2"/>
        <v>0</v>
      </c>
      <c r="AG12" s="5">
        <f t="shared" si="2"/>
        <v>0</v>
      </c>
      <c r="AH12" s="5">
        <f t="shared" si="2"/>
        <v>0</v>
      </c>
      <c r="AI12" s="5">
        <f t="shared" si="2"/>
        <v>0</v>
      </c>
      <c r="AJ12" s="5">
        <f t="shared" si="2"/>
        <v>0</v>
      </c>
      <c r="AK12" s="5">
        <f t="shared" si="2"/>
        <v>0</v>
      </c>
      <c r="AL12" s="5">
        <f t="shared" si="2"/>
        <v>0</v>
      </c>
      <c r="AM12" s="5">
        <f t="shared" si="2"/>
        <v>0</v>
      </c>
      <c r="AN12" s="5">
        <f t="shared" si="2"/>
        <v>0</v>
      </c>
      <c r="AO12" s="5">
        <f t="shared" si="2"/>
        <v>0</v>
      </c>
      <c r="AP12" s="5">
        <f t="shared" si="2"/>
        <v>0</v>
      </c>
      <c r="AQ12" s="5">
        <f t="shared" si="2"/>
        <v>0</v>
      </c>
      <c r="AR12" s="5">
        <f t="shared" si="2"/>
        <v>0</v>
      </c>
      <c r="AS12" s="5">
        <f t="shared" si="2"/>
        <v>0</v>
      </c>
      <c r="AT12" s="5">
        <f t="shared" si="2"/>
        <v>0</v>
      </c>
      <c r="AU12" s="5">
        <f t="shared" si="2"/>
        <v>2</v>
      </c>
      <c r="AV12" s="5">
        <f t="shared" si="2"/>
        <v>2</v>
      </c>
      <c r="AW12" s="5">
        <f t="shared" si="2"/>
        <v>2</v>
      </c>
      <c r="AX12" s="5">
        <f t="shared" si="2"/>
        <v>2</v>
      </c>
      <c r="AY12" s="5">
        <f t="shared" si="2"/>
        <v>0</v>
      </c>
      <c r="AZ12" s="5">
        <f t="shared" si="2"/>
        <v>0</v>
      </c>
      <c r="BA12" s="5">
        <f t="shared" si="2"/>
        <v>0</v>
      </c>
      <c r="BB12" s="5">
        <f t="shared" si="2"/>
        <v>0</v>
      </c>
      <c r="BC12" s="5">
        <f t="shared" si="2"/>
        <v>0</v>
      </c>
      <c r="BD12" s="5">
        <f t="shared" si="2"/>
        <v>0</v>
      </c>
      <c r="BE12" s="5">
        <f t="shared" si="2"/>
        <v>0</v>
      </c>
      <c r="BF12" s="5">
        <f t="shared" si="2"/>
        <v>0</v>
      </c>
      <c r="BG12" s="5">
        <f>IF(OR(BF11=3,BF12=2),IF(MOD(BG9,8)=0,0,2),0)</f>
        <v>0</v>
      </c>
      <c r="BH12" s="5">
        <f t="shared" ref="BH12:BN12" si="3">IF(OR(BG11=3,BG12=2),IF(MOD(BH9,8)=0,0,2),0)</f>
        <v>0</v>
      </c>
      <c r="BI12" s="5">
        <f t="shared" si="3"/>
        <v>0</v>
      </c>
      <c r="BJ12" s="5">
        <f t="shared" si="3"/>
        <v>0</v>
      </c>
      <c r="BK12" s="5">
        <f t="shared" si="3"/>
        <v>0</v>
      </c>
      <c r="BL12" s="5">
        <f t="shared" si="3"/>
        <v>0</v>
      </c>
      <c r="BM12" s="5">
        <f t="shared" si="3"/>
        <v>0</v>
      </c>
      <c r="BN12" s="5">
        <f t="shared" si="3"/>
        <v>0</v>
      </c>
    </row>
    <row r="13" spans="1:66">
      <c r="B13" t="s">
        <v>8</v>
      </c>
      <c r="C13" s="5">
        <f t="shared" ref="C13:K13" si="4">IF(OR($BN2=1,$BN2=3,$BN2=0),0,IF(AND($C8&lt;=C9,C11&lt;&gt;3,C12&lt;&gt;2),2,0))</f>
        <v>0</v>
      </c>
      <c r="D13" s="5">
        <f t="shared" si="4"/>
        <v>0</v>
      </c>
      <c r="E13" s="5">
        <f t="shared" si="4"/>
        <v>0</v>
      </c>
      <c r="F13" s="5">
        <f t="shared" si="4"/>
        <v>0</v>
      </c>
      <c r="G13" s="5">
        <f t="shared" si="4"/>
        <v>0</v>
      </c>
      <c r="H13" s="5">
        <f t="shared" si="4"/>
        <v>0</v>
      </c>
      <c r="I13" s="5">
        <f t="shared" si="4"/>
        <v>0</v>
      </c>
      <c r="J13" s="5">
        <f t="shared" si="4"/>
        <v>0</v>
      </c>
      <c r="K13" s="5">
        <f t="shared" si="4"/>
        <v>0</v>
      </c>
      <c r="L13" s="5">
        <f t="shared" ref="L13:BF13" si="5">IF(OR($BN2=1,$BN2=3,$BN2=0),0,IF(AND($C8&lt;=L9,L11&lt;&gt;3,L12&lt;&gt;2),2,0))</f>
        <v>0</v>
      </c>
      <c r="M13" s="5">
        <f t="shared" si="5"/>
        <v>0</v>
      </c>
      <c r="N13" s="5">
        <f t="shared" si="5"/>
        <v>0</v>
      </c>
      <c r="O13" s="5">
        <f t="shared" si="5"/>
        <v>0</v>
      </c>
      <c r="P13" s="5">
        <f t="shared" si="5"/>
        <v>0</v>
      </c>
      <c r="Q13" s="5">
        <f t="shared" si="5"/>
        <v>0</v>
      </c>
      <c r="R13" s="5">
        <f t="shared" si="5"/>
        <v>0</v>
      </c>
      <c r="S13" s="5">
        <f t="shared" si="5"/>
        <v>0</v>
      </c>
      <c r="T13" s="5">
        <f t="shared" si="5"/>
        <v>0</v>
      </c>
      <c r="U13" s="5">
        <f t="shared" si="5"/>
        <v>0</v>
      </c>
      <c r="V13" s="5">
        <f t="shared" si="5"/>
        <v>0</v>
      </c>
      <c r="W13" s="5">
        <f t="shared" si="5"/>
        <v>0</v>
      </c>
      <c r="X13" s="5">
        <f t="shared" si="5"/>
        <v>0</v>
      </c>
      <c r="Y13" s="5">
        <f t="shared" si="5"/>
        <v>0</v>
      </c>
      <c r="Z13" s="5">
        <f t="shared" si="5"/>
        <v>0</v>
      </c>
      <c r="AA13" s="5">
        <f t="shared" si="5"/>
        <v>0</v>
      </c>
      <c r="AB13" s="5">
        <f t="shared" si="5"/>
        <v>0</v>
      </c>
      <c r="AC13" s="5">
        <f t="shared" si="5"/>
        <v>0</v>
      </c>
      <c r="AD13" s="5">
        <f t="shared" si="5"/>
        <v>0</v>
      </c>
      <c r="AE13" s="5">
        <f t="shared" si="5"/>
        <v>0</v>
      </c>
      <c r="AF13" s="5">
        <f t="shared" si="5"/>
        <v>0</v>
      </c>
      <c r="AG13" s="5">
        <f t="shared" si="5"/>
        <v>0</v>
      </c>
      <c r="AH13" s="5">
        <f t="shared" si="5"/>
        <v>0</v>
      </c>
      <c r="AI13" s="5">
        <f t="shared" si="5"/>
        <v>0</v>
      </c>
      <c r="AJ13" s="5">
        <f t="shared" si="5"/>
        <v>0</v>
      </c>
      <c r="AK13" s="5">
        <f t="shared" si="5"/>
        <v>0</v>
      </c>
      <c r="AL13" s="5">
        <f t="shared" si="5"/>
        <v>0</v>
      </c>
      <c r="AM13" s="5">
        <f t="shared" si="5"/>
        <v>0</v>
      </c>
      <c r="AN13" s="5">
        <f t="shared" si="5"/>
        <v>0</v>
      </c>
      <c r="AO13" s="5">
        <f t="shared" si="5"/>
        <v>0</v>
      </c>
      <c r="AP13" s="5">
        <f t="shared" si="5"/>
        <v>0</v>
      </c>
      <c r="AQ13" s="5">
        <f t="shared" si="5"/>
        <v>0</v>
      </c>
      <c r="AR13" s="5">
        <f t="shared" si="5"/>
        <v>0</v>
      </c>
      <c r="AS13" s="5">
        <f t="shared" si="5"/>
        <v>0</v>
      </c>
      <c r="AT13" s="5">
        <f t="shared" si="5"/>
        <v>0</v>
      </c>
      <c r="AU13" s="5">
        <f t="shared" si="5"/>
        <v>0</v>
      </c>
      <c r="AV13" s="5">
        <f t="shared" si="5"/>
        <v>0</v>
      </c>
      <c r="AW13" s="5">
        <f t="shared" si="5"/>
        <v>0</v>
      </c>
      <c r="AX13" s="5">
        <f t="shared" si="5"/>
        <v>0</v>
      </c>
      <c r="AY13" s="5">
        <f t="shared" si="5"/>
        <v>2</v>
      </c>
      <c r="AZ13" s="5">
        <f t="shared" si="5"/>
        <v>2</v>
      </c>
      <c r="BA13" s="5">
        <f t="shared" si="5"/>
        <v>2</v>
      </c>
      <c r="BB13" s="5">
        <f t="shared" si="5"/>
        <v>2</v>
      </c>
      <c r="BC13" s="5">
        <f t="shared" si="5"/>
        <v>2</v>
      </c>
      <c r="BD13" s="5">
        <f t="shared" si="5"/>
        <v>2</v>
      </c>
      <c r="BE13" s="5">
        <f t="shared" si="5"/>
        <v>2</v>
      </c>
      <c r="BF13" s="5">
        <f t="shared" si="5"/>
        <v>2</v>
      </c>
      <c r="BG13" s="18">
        <f>IF(OR(BF14=2,BF14=3),1,0)</f>
        <v>1</v>
      </c>
      <c r="BH13" s="19">
        <f>IF(BG13=1,1,0)</f>
        <v>1</v>
      </c>
      <c r="BI13" s="19">
        <f t="shared" ref="BI13:BN13" si="6">IF(BH13=1,1,0)</f>
        <v>1</v>
      </c>
      <c r="BJ13" s="19">
        <f t="shared" si="6"/>
        <v>1</v>
      </c>
      <c r="BK13" s="19">
        <f t="shared" si="6"/>
        <v>1</v>
      </c>
      <c r="BL13" s="19">
        <f t="shared" si="6"/>
        <v>1</v>
      </c>
      <c r="BM13" s="19">
        <f t="shared" si="6"/>
        <v>1</v>
      </c>
      <c r="BN13" s="19">
        <f t="shared" si="6"/>
        <v>1</v>
      </c>
    </row>
    <row r="14" spans="1:66">
      <c r="B14" t="s">
        <v>9</v>
      </c>
      <c r="C14" s="6">
        <f>SUM(C10:C13)</f>
        <v>4</v>
      </c>
      <c r="D14" s="6">
        <f t="shared" ref="D14:BN14" si="7">SUM(D10:D13)</f>
        <v>4</v>
      </c>
      <c r="E14" s="6">
        <f t="shared" si="7"/>
        <v>4</v>
      </c>
      <c r="F14" s="6">
        <f t="shared" si="7"/>
        <v>4</v>
      </c>
      <c r="G14" s="6">
        <f t="shared" si="7"/>
        <v>4</v>
      </c>
      <c r="H14" s="6">
        <f t="shared" si="7"/>
        <v>4</v>
      </c>
      <c r="I14" s="6">
        <f t="shared" si="7"/>
        <v>4</v>
      </c>
      <c r="J14" s="6">
        <f t="shared" si="7"/>
        <v>4</v>
      </c>
      <c r="K14" s="6">
        <f t="shared" si="7"/>
        <v>4</v>
      </c>
      <c r="L14" s="6">
        <f t="shared" si="7"/>
        <v>4</v>
      </c>
      <c r="M14" s="6">
        <f t="shared" si="7"/>
        <v>4</v>
      </c>
      <c r="N14" s="6">
        <f t="shared" si="7"/>
        <v>4</v>
      </c>
      <c r="O14" s="6">
        <f t="shared" si="7"/>
        <v>4</v>
      </c>
      <c r="P14" s="6">
        <f t="shared" si="7"/>
        <v>4</v>
      </c>
      <c r="Q14" s="6">
        <f t="shared" si="7"/>
        <v>4</v>
      </c>
      <c r="R14" s="6">
        <f t="shared" si="7"/>
        <v>4</v>
      </c>
      <c r="S14" s="6">
        <f t="shared" si="7"/>
        <v>4</v>
      </c>
      <c r="T14" s="6">
        <f t="shared" si="7"/>
        <v>4</v>
      </c>
      <c r="U14" s="6">
        <f t="shared" si="7"/>
        <v>4</v>
      </c>
      <c r="V14" s="6">
        <f t="shared" si="7"/>
        <v>4</v>
      </c>
      <c r="W14" s="6">
        <f t="shared" si="7"/>
        <v>4</v>
      </c>
      <c r="X14" s="6">
        <f t="shared" si="7"/>
        <v>4</v>
      </c>
      <c r="Y14" s="6">
        <f t="shared" si="7"/>
        <v>4</v>
      </c>
      <c r="Z14" s="6">
        <f t="shared" si="7"/>
        <v>4</v>
      </c>
      <c r="AA14" s="6">
        <f t="shared" si="7"/>
        <v>4</v>
      </c>
      <c r="AB14" s="6">
        <f t="shared" si="7"/>
        <v>4</v>
      </c>
      <c r="AC14" s="6">
        <f t="shared" si="7"/>
        <v>4</v>
      </c>
      <c r="AD14" s="6">
        <f t="shared" si="7"/>
        <v>4</v>
      </c>
      <c r="AE14" s="6">
        <f t="shared" si="7"/>
        <v>4</v>
      </c>
      <c r="AF14" s="6">
        <f t="shared" si="7"/>
        <v>4</v>
      </c>
      <c r="AG14" s="6">
        <f t="shared" si="7"/>
        <v>4</v>
      </c>
      <c r="AH14" s="6">
        <f t="shared" si="7"/>
        <v>4</v>
      </c>
      <c r="AI14" s="6">
        <f t="shared" si="7"/>
        <v>4</v>
      </c>
      <c r="AJ14" s="6">
        <f t="shared" si="7"/>
        <v>4</v>
      </c>
      <c r="AK14" s="6">
        <f t="shared" si="7"/>
        <v>4</v>
      </c>
      <c r="AL14" s="6">
        <f t="shared" si="7"/>
        <v>4</v>
      </c>
      <c r="AM14" s="6">
        <f t="shared" si="7"/>
        <v>4</v>
      </c>
      <c r="AN14" s="6">
        <f t="shared" si="7"/>
        <v>4</v>
      </c>
      <c r="AO14" s="6">
        <f t="shared" si="7"/>
        <v>4</v>
      </c>
      <c r="AP14" s="6">
        <f t="shared" si="7"/>
        <v>4</v>
      </c>
      <c r="AQ14" s="6">
        <f t="shared" si="7"/>
        <v>4</v>
      </c>
      <c r="AR14" s="6">
        <f t="shared" si="7"/>
        <v>4</v>
      </c>
      <c r="AS14" s="6">
        <f t="shared" si="7"/>
        <v>4</v>
      </c>
      <c r="AT14" s="6">
        <f t="shared" si="7"/>
        <v>3</v>
      </c>
      <c r="AU14" s="6">
        <f t="shared" si="7"/>
        <v>2</v>
      </c>
      <c r="AV14" s="6">
        <f t="shared" si="7"/>
        <v>2</v>
      </c>
      <c r="AW14" s="6">
        <f t="shared" si="7"/>
        <v>2</v>
      </c>
      <c r="AX14" s="6">
        <f t="shared" si="7"/>
        <v>2</v>
      </c>
      <c r="AY14" s="6">
        <f t="shared" si="7"/>
        <v>2</v>
      </c>
      <c r="AZ14" s="6">
        <f t="shared" si="7"/>
        <v>2</v>
      </c>
      <c r="BA14" s="6">
        <f t="shared" si="7"/>
        <v>2</v>
      </c>
      <c r="BB14" s="6">
        <f t="shared" si="7"/>
        <v>2</v>
      </c>
      <c r="BC14" s="6">
        <f t="shared" si="7"/>
        <v>2</v>
      </c>
      <c r="BD14" s="6">
        <f t="shared" si="7"/>
        <v>2</v>
      </c>
      <c r="BE14" s="6">
        <f t="shared" si="7"/>
        <v>2</v>
      </c>
      <c r="BF14" s="6">
        <f t="shared" si="7"/>
        <v>2</v>
      </c>
      <c r="BG14" s="6">
        <f t="shared" si="7"/>
        <v>1</v>
      </c>
      <c r="BH14" s="6">
        <f t="shared" si="7"/>
        <v>1</v>
      </c>
      <c r="BI14" s="6">
        <f t="shared" si="7"/>
        <v>1</v>
      </c>
      <c r="BJ14" s="6">
        <f t="shared" si="7"/>
        <v>1</v>
      </c>
      <c r="BK14" s="6">
        <f t="shared" si="7"/>
        <v>1</v>
      </c>
      <c r="BL14" s="6">
        <f t="shared" si="7"/>
        <v>1</v>
      </c>
      <c r="BM14" s="6">
        <f t="shared" si="7"/>
        <v>1</v>
      </c>
      <c r="BN14" s="6">
        <f t="shared" si="7"/>
        <v>1</v>
      </c>
    </row>
    <row r="15" spans="1:66">
      <c r="AY15" s="4" t="s">
        <v>21</v>
      </c>
    </row>
    <row r="16" spans="1:66">
      <c r="B16" t="s">
        <v>10</v>
      </c>
    </row>
    <row r="17" spans="1:66">
      <c r="B17" s="1" t="s">
        <v>15</v>
      </c>
      <c r="C17" s="1" t="str">
        <f>IF(OR(BN14=4,BN14=2),LEFT(C7,64),C7)</f>
        <v>The quick brown fox jumps over the lazy dog</v>
      </c>
    </row>
    <row r="19" spans="1:66">
      <c r="A19" s="7" t="s">
        <v>20</v>
      </c>
      <c r="B19" s="1" t="s">
        <v>14</v>
      </c>
      <c r="C19" s="1" t="str">
        <f>종합!C11</f>
        <v>The quick brown fox jumps over the lazy cog</v>
      </c>
    </row>
    <row r="20" spans="1:66">
      <c r="B20" s="1" t="s">
        <v>17</v>
      </c>
      <c r="C20" s="1">
        <f>LEN(C19)</f>
        <v>43</v>
      </c>
    </row>
    <row r="21" spans="1:66">
      <c r="B21" t="s">
        <v>5</v>
      </c>
      <c r="C21" s="5">
        <v>0</v>
      </c>
      <c r="D21" s="5">
        <v>1</v>
      </c>
      <c r="E21" s="5">
        <v>2</v>
      </c>
      <c r="F21" s="5">
        <v>3</v>
      </c>
      <c r="G21" s="5">
        <v>4</v>
      </c>
      <c r="H21" s="5">
        <v>5</v>
      </c>
      <c r="I21" s="5">
        <v>6</v>
      </c>
      <c r="J21" s="5">
        <v>7</v>
      </c>
      <c r="K21" s="5">
        <v>8</v>
      </c>
      <c r="L21" s="5">
        <v>9</v>
      </c>
      <c r="M21" s="5">
        <v>10</v>
      </c>
      <c r="N21" s="5">
        <v>11</v>
      </c>
      <c r="O21" s="5">
        <v>12</v>
      </c>
      <c r="P21" s="5">
        <v>13</v>
      </c>
      <c r="Q21" s="5">
        <v>14</v>
      </c>
      <c r="R21" s="5">
        <v>15</v>
      </c>
      <c r="S21" s="5">
        <v>16</v>
      </c>
      <c r="T21" s="5">
        <v>17</v>
      </c>
      <c r="U21" s="5">
        <v>18</v>
      </c>
      <c r="V21" s="5">
        <v>19</v>
      </c>
      <c r="W21" s="5">
        <v>20</v>
      </c>
      <c r="X21" s="5">
        <v>21</v>
      </c>
      <c r="Y21" s="5">
        <v>22</v>
      </c>
      <c r="Z21" s="5">
        <v>23</v>
      </c>
      <c r="AA21" s="5">
        <v>24</v>
      </c>
      <c r="AB21" s="5">
        <v>25</v>
      </c>
      <c r="AC21" s="5">
        <v>26</v>
      </c>
      <c r="AD21" s="5">
        <v>27</v>
      </c>
      <c r="AE21" s="5">
        <v>28</v>
      </c>
      <c r="AF21" s="5">
        <v>29</v>
      </c>
      <c r="AG21" s="5">
        <v>30</v>
      </c>
      <c r="AH21" s="5">
        <v>31</v>
      </c>
      <c r="AI21" s="5">
        <v>32</v>
      </c>
      <c r="AJ21" s="5">
        <v>33</v>
      </c>
      <c r="AK21" s="5">
        <v>34</v>
      </c>
      <c r="AL21" s="5">
        <v>35</v>
      </c>
      <c r="AM21" s="5">
        <v>36</v>
      </c>
      <c r="AN21" s="5">
        <v>37</v>
      </c>
      <c r="AO21" s="5">
        <v>38</v>
      </c>
      <c r="AP21" s="5">
        <v>39</v>
      </c>
      <c r="AQ21" s="5">
        <v>40</v>
      </c>
      <c r="AR21" s="5">
        <v>41</v>
      </c>
      <c r="AS21" s="5">
        <v>42</v>
      </c>
      <c r="AT21" s="5">
        <v>43</v>
      </c>
      <c r="AU21" s="5">
        <v>44</v>
      </c>
      <c r="AV21" s="5">
        <v>45</v>
      </c>
      <c r="AW21" s="5">
        <v>46</v>
      </c>
      <c r="AX21" s="5">
        <v>47</v>
      </c>
      <c r="AY21" s="5">
        <v>48</v>
      </c>
      <c r="AZ21" s="5">
        <v>49</v>
      </c>
      <c r="BA21" s="5">
        <v>50</v>
      </c>
      <c r="BB21" s="5">
        <v>51</v>
      </c>
      <c r="BC21" s="5">
        <v>52</v>
      </c>
      <c r="BD21" s="5">
        <v>53</v>
      </c>
      <c r="BE21" s="5">
        <v>54</v>
      </c>
      <c r="BF21" s="5">
        <v>55</v>
      </c>
      <c r="BG21" s="5">
        <v>56</v>
      </c>
      <c r="BH21" s="5">
        <v>57</v>
      </c>
      <c r="BI21" s="5">
        <v>58</v>
      </c>
      <c r="BJ21" s="5">
        <v>59</v>
      </c>
      <c r="BK21" s="5">
        <v>60</v>
      </c>
      <c r="BL21" s="5">
        <v>61</v>
      </c>
      <c r="BM21" s="5">
        <v>62</v>
      </c>
      <c r="BN21" s="5">
        <v>63</v>
      </c>
    </row>
    <row r="22" spans="1:66">
      <c r="B22" t="s">
        <v>6</v>
      </c>
      <c r="C22" s="5">
        <f t="shared" ref="C22:AH22" si="8">IF(LEN($C19)&gt;C21,4,0)</f>
        <v>4</v>
      </c>
      <c r="D22" s="5">
        <f t="shared" si="8"/>
        <v>4</v>
      </c>
      <c r="E22" s="5">
        <f t="shared" si="8"/>
        <v>4</v>
      </c>
      <c r="F22" s="5">
        <f t="shared" si="8"/>
        <v>4</v>
      </c>
      <c r="G22" s="5">
        <f t="shared" si="8"/>
        <v>4</v>
      </c>
      <c r="H22" s="5">
        <f t="shared" si="8"/>
        <v>4</v>
      </c>
      <c r="I22" s="5">
        <f t="shared" si="8"/>
        <v>4</v>
      </c>
      <c r="J22" s="5">
        <f t="shared" si="8"/>
        <v>4</v>
      </c>
      <c r="K22" s="5">
        <f t="shared" si="8"/>
        <v>4</v>
      </c>
      <c r="L22" s="5">
        <f t="shared" si="8"/>
        <v>4</v>
      </c>
      <c r="M22" s="5">
        <f t="shared" si="8"/>
        <v>4</v>
      </c>
      <c r="N22" s="5">
        <f t="shared" si="8"/>
        <v>4</v>
      </c>
      <c r="O22" s="5">
        <f t="shared" si="8"/>
        <v>4</v>
      </c>
      <c r="P22" s="5">
        <f t="shared" si="8"/>
        <v>4</v>
      </c>
      <c r="Q22" s="5">
        <f t="shared" si="8"/>
        <v>4</v>
      </c>
      <c r="R22" s="5">
        <f t="shared" si="8"/>
        <v>4</v>
      </c>
      <c r="S22" s="5">
        <f t="shared" si="8"/>
        <v>4</v>
      </c>
      <c r="T22" s="5">
        <f t="shared" si="8"/>
        <v>4</v>
      </c>
      <c r="U22" s="5">
        <f t="shared" si="8"/>
        <v>4</v>
      </c>
      <c r="V22" s="5">
        <f t="shared" si="8"/>
        <v>4</v>
      </c>
      <c r="W22" s="5">
        <f t="shared" si="8"/>
        <v>4</v>
      </c>
      <c r="X22" s="5">
        <f t="shared" si="8"/>
        <v>4</v>
      </c>
      <c r="Y22" s="5">
        <f t="shared" si="8"/>
        <v>4</v>
      </c>
      <c r="Z22" s="5">
        <f t="shared" si="8"/>
        <v>4</v>
      </c>
      <c r="AA22" s="5">
        <f t="shared" si="8"/>
        <v>4</v>
      </c>
      <c r="AB22" s="5">
        <f t="shared" si="8"/>
        <v>4</v>
      </c>
      <c r="AC22" s="5">
        <f t="shared" si="8"/>
        <v>4</v>
      </c>
      <c r="AD22" s="5">
        <f t="shared" si="8"/>
        <v>4</v>
      </c>
      <c r="AE22" s="5">
        <f t="shared" si="8"/>
        <v>4</v>
      </c>
      <c r="AF22" s="5">
        <f t="shared" si="8"/>
        <v>4</v>
      </c>
      <c r="AG22" s="5">
        <f t="shared" si="8"/>
        <v>4</v>
      </c>
      <c r="AH22" s="5">
        <f t="shared" si="8"/>
        <v>4</v>
      </c>
      <c r="AI22" s="5">
        <f t="shared" ref="AI22:BN22" si="9">IF(LEN($C19)&gt;AI21,4,0)</f>
        <v>4</v>
      </c>
      <c r="AJ22" s="5">
        <f t="shared" si="9"/>
        <v>4</v>
      </c>
      <c r="AK22" s="5">
        <f t="shared" si="9"/>
        <v>4</v>
      </c>
      <c r="AL22" s="5">
        <f t="shared" si="9"/>
        <v>4</v>
      </c>
      <c r="AM22" s="5">
        <f t="shared" si="9"/>
        <v>4</v>
      </c>
      <c r="AN22" s="5">
        <f t="shared" si="9"/>
        <v>4</v>
      </c>
      <c r="AO22" s="5">
        <f t="shared" si="9"/>
        <v>4</v>
      </c>
      <c r="AP22" s="5">
        <f t="shared" si="9"/>
        <v>4</v>
      </c>
      <c r="AQ22" s="5">
        <f t="shared" si="9"/>
        <v>4</v>
      </c>
      <c r="AR22" s="5">
        <f t="shared" si="9"/>
        <v>4</v>
      </c>
      <c r="AS22" s="5">
        <f t="shared" si="9"/>
        <v>4</v>
      </c>
      <c r="AT22" s="5">
        <f t="shared" si="9"/>
        <v>0</v>
      </c>
      <c r="AU22" s="5">
        <f t="shared" si="9"/>
        <v>0</v>
      </c>
      <c r="AV22" s="5">
        <f t="shared" si="9"/>
        <v>0</v>
      </c>
      <c r="AW22" s="5">
        <f t="shared" si="9"/>
        <v>0</v>
      </c>
      <c r="AX22" s="5">
        <f t="shared" si="9"/>
        <v>0</v>
      </c>
      <c r="AY22" s="5">
        <f t="shared" si="9"/>
        <v>0</v>
      </c>
      <c r="AZ22" s="5">
        <f t="shared" si="9"/>
        <v>0</v>
      </c>
      <c r="BA22" s="5">
        <f t="shared" si="9"/>
        <v>0</v>
      </c>
      <c r="BB22" s="5">
        <f t="shared" si="9"/>
        <v>0</v>
      </c>
      <c r="BC22" s="5">
        <f t="shared" si="9"/>
        <v>0</v>
      </c>
      <c r="BD22" s="5">
        <f t="shared" si="9"/>
        <v>0</v>
      </c>
      <c r="BE22" s="5">
        <f t="shared" si="9"/>
        <v>0</v>
      </c>
      <c r="BF22" s="5">
        <f t="shared" si="9"/>
        <v>0</v>
      </c>
      <c r="BG22" s="5">
        <f t="shared" si="9"/>
        <v>0</v>
      </c>
      <c r="BH22" s="5">
        <f t="shared" si="9"/>
        <v>0</v>
      </c>
      <c r="BI22" s="5">
        <f t="shared" si="9"/>
        <v>0</v>
      </c>
      <c r="BJ22" s="5">
        <f t="shared" si="9"/>
        <v>0</v>
      </c>
      <c r="BK22" s="5">
        <f t="shared" si="9"/>
        <v>0</v>
      </c>
      <c r="BL22" s="5">
        <f t="shared" si="9"/>
        <v>0</v>
      </c>
      <c r="BM22" s="5">
        <f t="shared" si="9"/>
        <v>0</v>
      </c>
      <c r="BN22" s="5">
        <f t="shared" si="9"/>
        <v>0</v>
      </c>
    </row>
    <row r="23" spans="1:66">
      <c r="B23" t="s">
        <v>115</v>
      </c>
      <c r="C23" s="5">
        <f>IF(AND(LEN($C19)=C21,$BN14&lt;&gt;2,$BN14&lt;&gt;1,$BN14&lt;&gt;0),3,0)</f>
        <v>0</v>
      </c>
      <c r="D23" s="5">
        <f t="shared" ref="D23:BN23" si="10">IF(AND(LEN($C19)=D21,$BN14&lt;&gt;2,$BN14&lt;&gt;1,$BN14&lt;&gt;0),3,0)</f>
        <v>0</v>
      </c>
      <c r="E23" s="5">
        <f t="shared" si="10"/>
        <v>0</v>
      </c>
      <c r="F23" s="5">
        <f t="shared" si="10"/>
        <v>0</v>
      </c>
      <c r="G23" s="5">
        <f t="shared" si="10"/>
        <v>0</v>
      </c>
      <c r="H23" s="5">
        <f t="shared" si="10"/>
        <v>0</v>
      </c>
      <c r="I23" s="5">
        <f t="shared" si="10"/>
        <v>0</v>
      </c>
      <c r="J23" s="5">
        <f t="shared" si="10"/>
        <v>0</v>
      </c>
      <c r="K23" s="5">
        <f t="shared" si="10"/>
        <v>0</v>
      </c>
      <c r="L23" s="5">
        <f t="shared" si="10"/>
        <v>0</v>
      </c>
      <c r="M23" s="5">
        <f t="shared" si="10"/>
        <v>0</v>
      </c>
      <c r="N23" s="5">
        <f t="shared" si="10"/>
        <v>0</v>
      </c>
      <c r="O23" s="5">
        <f t="shared" si="10"/>
        <v>0</v>
      </c>
      <c r="P23" s="5">
        <f t="shared" si="10"/>
        <v>0</v>
      </c>
      <c r="Q23" s="5">
        <f t="shared" si="10"/>
        <v>0</v>
      </c>
      <c r="R23" s="5">
        <f t="shared" si="10"/>
        <v>0</v>
      </c>
      <c r="S23" s="5">
        <f t="shared" si="10"/>
        <v>0</v>
      </c>
      <c r="T23" s="5">
        <f t="shared" si="10"/>
        <v>0</v>
      </c>
      <c r="U23" s="5">
        <f t="shared" si="10"/>
        <v>0</v>
      </c>
      <c r="V23" s="5">
        <f t="shared" si="10"/>
        <v>0</v>
      </c>
      <c r="W23" s="5">
        <f t="shared" si="10"/>
        <v>0</v>
      </c>
      <c r="X23" s="5">
        <f t="shared" si="10"/>
        <v>0</v>
      </c>
      <c r="Y23" s="5">
        <f t="shared" si="10"/>
        <v>0</v>
      </c>
      <c r="Z23" s="5">
        <f t="shared" si="10"/>
        <v>0</v>
      </c>
      <c r="AA23" s="5">
        <f t="shared" si="10"/>
        <v>0</v>
      </c>
      <c r="AB23" s="5">
        <f t="shared" si="10"/>
        <v>0</v>
      </c>
      <c r="AC23" s="5">
        <f t="shared" si="10"/>
        <v>0</v>
      </c>
      <c r="AD23" s="5">
        <f t="shared" si="10"/>
        <v>0</v>
      </c>
      <c r="AE23" s="5">
        <f t="shared" si="10"/>
        <v>0</v>
      </c>
      <c r="AF23" s="5">
        <f t="shared" si="10"/>
        <v>0</v>
      </c>
      <c r="AG23" s="5">
        <f t="shared" si="10"/>
        <v>0</v>
      </c>
      <c r="AH23" s="5">
        <f t="shared" si="10"/>
        <v>0</v>
      </c>
      <c r="AI23" s="5">
        <f t="shared" si="10"/>
        <v>0</v>
      </c>
      <c r="AJ23" s="5">
        <f t="shared" si="10"/>
        <v>0</v>
      </c>
      <c r="AK23" s="5">
        <f t="shared" si="10"/>
        <v>0</v>
      </c>
      <c r="AL23" s="5">
        <f t="shared" si="10"/>
        <v>0</v>
      </c>
      <c r="AM23" s="5">
        <f t="shared" si="10"/>
        <v>0</v>
      </c>
      <c r="AN23" s="5">
        <f t="shared" si="10"/>
        <v>0</v>
      </c>
      <c r="AO23" s="5">
        <f t="shared" si="10"/>
        <v>0</v>
      </c>
      <c r="AP23" s="5">
        <f t="shared" si="10"/>
        <v>0</v>
      </c>
      <c r="AQ23" s="5">
        <f t="shared" si="10"/>
        <v>0</v>
      </c>
      <c r="AR23" s="5">
        <f t="shared" si="10"/>
        <v>0</v>
      </c>
      <c r="AS23" s="5">
        <f t="shared" si="10"/>
        <v>0</v>
      </c>
      <c r="AT23" s="5">
        <f>IF(AND(LEN($C19)=AT21,$BN2&lt;&gt;2,$BN2&lt;&gt;1,$BN2&lt;&gt;0),3,0)</f>
        <v>3</v>
      </c>
      <c r="AU23" s="5">
        <f t="shared" si="10"/>
        <v>0</v>
      </c>
      <c r="AV23" s="5">
        <f t="shared" si="10"/>
        <v>0</v>
      </c>
      <c r="AW23" s="5">
        <f t="shared" si="10"/>
        <v>0</v>
      </c>
      <c r="AX23" s="5">
        <f t="shared" si="10"/>
        <v>0</v>
      </c>
      <c r="AY23" s="5">
        <f t="shared" si="10"/>
        <v>0</v>
      </c>
      <c r="AZ23" s="5">
        <f t="shared" si="10"/>
        <v>0</v>
      </c>
      <c r="BA23" s="5">
        <f t="shared" si="10"/>
        <v>0</v>
      </c>
      <c r="BB23" s="5">
        <f t="shared" si="10"/>
        <v>0</v>
      </c>
      <c r="BC23" s="5">
        <f t="shared" si="10"/>
        <v>0</v>
      </c>
      <c r="BD23" s="5">
        <f t="shared" si="10"/>
        <v>0</v>
      </c>
      <c r="BE23" s="5">
        <f t="shared" si="10"/>
        <v>0</v>
      </c>
      <c r="BF23" s="5">
        <f t="shared" si="10"/>
        <v>0</v>
      </c>
      <c r="BG23" s="5">
        <f t="shared" si="10"/>
        <v>0</v>
      </c>
      <c r="BH23" s="5">
        <f t="shared" si="10"/>
        <v>0</v>
      </c>
      <c r="BI23" s="5">
        <f t="shared" si="10"/>
        <v>0</v>
      </c>
      <c r="BJ23" s="5">
        <f t="shared" si="10"/>
        <v>0</v>
      </c>
      <c r="BK23" s="5">
        <f t="shared" si="10"/>
        <v>0</v>
      </c>
      <c r="BL23" s="5">
        <f t="shared" si="10"/>
        <v>0</v>
      </c>
      <c r="BM23" s="5">
        <f t="shared" si="10"/>
        <v>0</v>
      </c>
      <c r="BN23" s="5">
        <f t="shared" si="10"/>
        <v>0</v>
      </c>
    </row>
    <row r="24" spans="1:66">
      <c r="B24" t="s">
        <v>7</v>
      </c>
      <c r="C24" s="5">
        <f t="shared" ref="C24:BF24" si="11">IF(OR(B23=3,B24=2),IF(MOD(C21,8)=0,0,2),0)</f>
        <v>0</v>
      </c>
      <c r="D24" s="5">
        <f t="shared" si="11"/>
        <v>0</v>
      </c>
      <c r="E24" s="5">
        <f t="shared" si="11"/>
        <v>0</v>
      </c>
      <c r="F24" s="5">
        <f t="shared" si="11"/>
        <v>0</v>
      </c>
      <c r="G24" s="5">
        <f t="shared" si="11"/>
        <v>0</v>
      </c>
      <c r="H24" s="5">
        <f t="shared" si="11"/>
        <v>0</v>
      </c>
      <c r="I24" s="5">
        <f t="shared" si="11"/>
        <v>0</v>
      </c>
      <c r="J24" s="5">
        <f t="shared" si="11"/>
        <v>0</v>
      </c>
      <c r="K24" s="5">
        <f t="shared" si="11"/>
        <v>0</v>
      </c>
      <c r="L24" s="5">
        <f t="shared" si="11"/>
        <v>0</v>
      </c>
      <c r="M24" s="5">
        <f t="shared" si="11"/>
        <v>0</v>
      </c>
      <c r="N24" s="5">
        <f t="shared" si="11"/>
        <v>0</v>
      </c>
      <c r="O24" s="5">
        <f t="shared" si="11"/>
        <v>0</v>
      </c>
      <c r="P24" s="5">
        <f t="shared" si="11"/>
        <v>0</v>
      </c>
      <c r="Q24" s="5">
        <f t="shared" si="11"/>
        <v>0</v>
      </c>
      <c r="R24" s="5">
        <f t="shared" si="11"/>
        <v>0</v>
      </c>
      <c r="S24" s="5">
        <f t="shared" si="11"/>
        <v>0</v>
      </c>
      <c r="T24" s="5">
        <f t="shared" si="11"/>
        <v>0</v>
      </c>
      <c r="U24" s="5">
        <f t="shared" si="11"/>
        <v>0</v>
      </c>
      <c r="V24" s="5">
        <f t="shared" si="11"/>
        <v>0</v>
      </c>
      <c r="W24" s="5">
        <f t="shared" si="11"/>
        <v>0</v>
      </c>
      <c r="X24" s="5">
        <f t="shared" si="11"/>
        <v>0</v>
      </c>
      <c r="Y24" s="5">
        <f t="shared" si="11"/>
        <v>0</v>
      </c>
      <c r="Z24" s="5">
        <f t="shared" si="11"/>
        <v>0</v>
      </c>
      <c r="AA24" s="5">
        <f t="shared" si="11"/>
        <v>0</v>
      </c>
      <c r="AB24" s="5">
        <f t="shared" si="11"/>
        <v>0</v>
      </c>
      <c r="AC24" s="5">
        <f t="shared" si="11"/>
        <v>0</v>
      </c>
      <c r="AD24" s="5">
        <f t="shared" si="11"/>
        <v>0</v>
      </c>
      <c r="AE24" s="5">
        <f t="shared" si="11"/>
        <v>0</v>
      </c>
      <c r="AF24" s="5">
        <f t="shared" si="11"/>
        <v>0</v>
      </c>
      <c r="AG24" s="5">
        <f t="shared" si="11"/>
        <v>0</v>
      </c>
      <c r="AH24" s="5">
        <f t="shared" si="11"/>
        <v>0</v>
      </c>
      <c r="AI24" s="5">
        <f t="shared" si="11"/>
        <v>0</v>
      </c>
      <c r="AJ24" s="5">
        <f t="shared" si="11"/>
        <v>0</v>
      </c>
      <c r="AK24" s="5">
        <f t="shared" si="11"/>
        <v>0</v>
      </c>
      <c r="AL24" s="5">
        <f t="shared" si="11"/>
        <v>0</v>
      </c>
      <c r="AM24" s="5">
        <f t="shared" si="11"/>
        <v>0</v>
      </c>
      <c r="AN24" s="5">
        <f t="shared" si="11"/>
        <v>0</v>
      </c>
      <c r="AO24" s="5">
        <f t="shared" si="11"/>
        <v>0</v>
      </c>
      <c r="AP24" s="5">
        <f t="shared" si="11"/>
        <v>0</v>
      </c>
      <c r="AQ24" s="5">
        <f t="shared" si="11"/>
        <v>0</v>
      </c>
      <c r="AR24" s="5">
        <f t="shared" si="11"/>
        <v>0</v>
      </c>
      <c r="AS24" s="5">
        <f t="shared" si="11"/>
        <v>0</v>
      </c>
      <c r="AT24" s="5">
        <f t="shared" si="11"/>
        <v>0</v>
      </c>
      <c r="AU24" s="5">
        <f t="shared" si="11"/>
        <v>2</v>
      </c>
      <c r="AV24" s="5">
        <f t="shared" si="11"/>
        <v>2</v>
      </c>
      <c r="AW24" s="5">
        <f t="shared" si="11"/>
        <v>2</v>
      </c>
      <c r="AX24" s="5">
        <f t="shared" si="11"/>
        <v>2</v>
      </c>
      <c r="AY24" s="5">
        <f t="shared" si="11"/>
        <v>0</v>
      </c>
      <c r="AZ24" s="5">
        <f t="shared" si="11"/>
        <v>0</v>
      </c>
      <c r="BA24" s="5">
        <f t="shared" si="11"/>
        <v>0</v>
      </c>
      <c r="BB24" s="5">
        <f t="shared" si="11"/>
        <v>0</v>
      </c>
      <c r="BC24" s="5">
        <f t="shared" si="11"/>
        <v>0</v>
      </c>
      <c r="BD24" s="5">
        <f t="shared" si="11"/>
        <v>0</v>
      </c>
      <c r="BE24" s="5">
        <f t="shared" si="11"/>
        <v>0</v>
      </c>
      <c r="BF24" s="5">
        <f t="shared" si="11"/>
        <v>0</v>
      </c>
      <c r="BG24" s="5">
        <f>IF(OR(BF23=3,BF24=2),IF(MOD(BG21,8)=0,0,2),0)</f>
        <v>0</v>
      </c>
      <c r="BH24" s="5">
        <f t="shared" ref="BH24:BN24" si="12">IF(OR(BG23=3,BG24=2),IF(MOD(BH21,8)=0,0,2),0)</f>
        <v>0</v>
      </c>
      <c r="BI24" s="5">
        <f t="shared" si="12"/>
        <v>0</v>
      </c>
      <c r="BJ24" s="5">
        <f t="shared" si="12"/>
        <v>0</v>
      </c>
      <c r="BK24" s="5">
        <f t="shared" si="12"/>
        <v>0</v>
      </c>
      <c r="BL24" s="5">
        <f t="shared" si="12"/>
        <v>0</v>
      </c>
      <c r="BM24" s="5">
        <f t="shared" si="12"/>
        <v>0</v>
      </c>
      <c r="BN24" s="5">
        <f t="shared" si="12"/>
        <v>0</v>
      </c>
    </row>
    <row r="25" spans="1:66">
      <c r="B25" t="s">
        <v>8</v>
      </c>
      <c r="C25" s="5">
        <f t="shared" ref="C25:AH25" si="13">IF(OR($BN14=1,$BN14=3,$BN14=0),0,IF(AND($C20&lt;=C21,C23&lt;&gt;3,C24&lt;&gt;2),2,0))</f>
        <v>0</v>
      </c>
      <c r="D25" s="5">
        <f t="shared" si="13"/>
        <v>0</v>
      </c>
      <c r="E25" s="5">
        <f t="shared" si="13"/>
        <v>0</v>
      </c>
      <c r="F25" s="5">
        <f t="shared" si="13"/>
        <v>0</v>
      </c>
      <c r="G25" s="5">
        <f t="shared" si="13"/>
        <v>0</v>
      </c>
      <c r="H25" s="5">
        <f t="shared" si="13"/>
        <v>0</v>
      </c>
      <c r="I25" s="5">
        <f t="shared" si="13"/>
        <v>0</v>
      </c>
      <c r="J25" s="5">
        <f t="shared" si="13"/>
        <v>0</v>
      </c>
      <c r="K25" s="5">
        <f t="shared" si="13"/>
        <v>0</v>
      </c>
      <c r="L25" s="5">
        <f t="shared" si="13"/>
        <v>0</v>
      </c>
      <c r="M25" s="5">
        <f t="shared" si="13"/>
        <v>0</v>
      </c>
      <c r="N25" s="5">
        <f t="shared" si="13"/>
        <v>0</v>
      </c>
      <c r="O25" s="5">
        <f t="shared" si="13"/>
        <v>0</v>
      </c>
      <c r="P25" s="5">
        <f t="shared" si="13"/>
        <v>0</v>
      </c>
      <c r="Q25" s="5">
        <f t="shared" si="13"/>
        <v>0</v>
      </c>
      <c r="R25" s="5">
        <f t="shared" si="13"/>
        <v>0</v>
      </c>
      <c r="S25" s="5">
        <f t="shared" si="13"/>
        <v>0</v>
      </c>
      <c r="T25" s="5">
        <f t="shared" si="13"/>
        <v>0</v>
      </c>
      <c r="U25" s="5">
        <f t="shared" si="13"/>
        <v>0</v>
      </c>
      <c r="V25" s="5">
        <f t="shared" si="13"/>
        <v>0</v>
      </c>
      <c r="W25" s="5">
        <f t="shared" si="13"/>
        <v>0</v>
      </c>
      <c r="X25" s="5">
        <f t="shared" si="13"/>
        <v>0</v>
      </c>
      <c r="Y25" s="5">
        <f t="shared" si="13"/>
        <v>0</v>
      </c>
      <c r="Z25" s="5">
        <f t="shared" si="13"/>
        <v>0</v>
      </c>
      <c r="AA25" s="5">
        <f t="shared" si="13"/>
        <v>0</v>
      </c>
      <c r="AB25" s="5">
        <f t="shared" si="13"/>
        <v>0</v>
      </c>
      <c r="AC25" s="5">
        <f t="shared" si="13"/>
        <v>0</v>
      </c>
      <c r="AD25" s="5">
        <f t="shared" si="13"/>
        <v>0</v>
      </c>
      <c r="AE25" s="5">
        <f t="shared" si="13"/>
        <v>0</v>
      </c>
      <c r="AF25" s="5">
        <f t="shared" si="13"/>
        <v>0</v>
      </c>
      <c r="AG25" s="5">
        <f t="shared" si="13"/>
        <v>0</v>
      </c>
      <c r="AH25" s="5">
        <f t="shared" si="13"/>
        <v>0</v>
      </c>
      <c r="AI25" s="5">
        <f t="shared" ref="AI25:AX25" si="14">IF(OR($BN14=1,$BN14=3,$BN14=0),0,IF(AND($C20&lt;=AI21,AI23&lt;&gt;3,AI24&lt;&gt;2),2,0))</f>
        <v>0</v>
      </c>
      <c r="AJ25" s="5">
        <f t="shared" si="14"/>
        <v>0</v>
      </c>
      <c r="AK25" s="5">
        <f t="shared" si="14"/>
        <v>0</v>
      </c>
      <c r="AL25" s="5">
        <f t="shared" si="14"/>
        <v>0</v>
      </c>
      <c r="AM25" s="5">
        <f t="shared" si="14"/>
        <v>0</v>
      </c>
      <c r="AN25" s="5">
        <f t="shared" si="14"/>
        <v>0</v>
      </c>
      <c r="AO25" s="5">
        <f t="shared" si="14"/>
        <v>0</v>
      </c>
      <c r="AP25" s="5">
        <f t="shared" si="14"/>
        <v>0</v>
      </c>
      <c r="AQ25" s="5">
        <f t="shared" si="14"/>
        <v>0</v>
      </c>
      <c r="AR25" s="5">
        <f t="shared" si="14"/>
        <v>0</v>
      </c>
      <c r="AS25" s="5">
        <f t="shared" si="14"/>
        <v>0</v>
      </c>
      <c r="AT25" s="5">
        <f t="shared" si="14"/>
        <v>0</v>
      </c>
      <c r="AU25" s="5">
        <f t="shared" si="14"/>
        <v>0</v>
      </c>
      <c r="AV25" s="5">
        <f t="shared" si="14"/>
        <v>0</v>
      </c>
      <c r="AW25" s="5">
        <f t="shared" si="14"/>
        <v>0</v>
      </c>
      <c r="AX25" s="5">
        <f t="shared" si="14"/>
        <v>0</v>
      </c>
      <c r="AY25" s="5">
        <f>IF(OR($BN2=1,$BN2=3,$BN2=0),0,IF(AND($C20&lt;=AY21,AY23&lt;&gt;3,AY24&lt;&gt;2),2,0))</f>
        <v>2</v>
      </c>
      <c r="AZ25" s="5">
        <f t="shared" ref="AZ25:BF25" si="15">IF(OR($BN2=1,$BN2=3,$BN2=0),0,IF(AND($C20&lt;=AZ21,AZ23&lt;&gt;3,AZ24&lt;&gt;2),2,0))</f>
        <v>2</v>
      </c>
      <c r="BA25" s="5">
        <f t="shared" si="15"/>
        <v>2</v>
      </c>
      <c r="BB25" s="5">
        <f t="shared" si="15"/>
        <v>2</v>
      </c>
      <c r="BC25" s="5">
        <f t="shared" si="15"/>
        <v>2</v>
      </c>
      <c r="BD25" s="5">
        <f t="shared" si="15"/>
        <v>2</v>
      </c>
      <c r="BE25" s="5">
        <f t="shared" si="15"/>
        <v>2</v>
      </c>
      <c r="BF25" s="5">
        <f t="shared" si="15"/>
        <v>2</v>
      </c>
      <c r="BG25" s="18">
        <f>IF(OR(BF26=2,BF26=3),1,0)</f>
        <v>1</v>
      </c>
      <c r="BH25" s="19">
        <f>IF(BG25=1,1,0)</f>
        <v>1</v>
      </c>
      <c r="BI25" s="19">
        <f t="shared" ref="BI25:BN25" si="16">IF(BH25=1,1,0)</f>
        <v>1</v>
      </c>
      <c r="BJ25" s="19">
        <f t="shared" si="16"/>
        <v>1</v>
      </c>
      <c r="BK25" s="19">
        <f t="shared" si="16"/>
        <v>1</v>
      </c>
      <c r="BL25" s="19">
        <f t="shared" si="16"/>
        <v>1</v>
      </c>
      <c r="BM25" s="19">
        <f t="shared" si="16"/>
        <v>1</v>
      </c>
      <c r="BN25" s="19">
        <f t="shared" si="16"/>
        <v>1</v>
      </c>
    </row>
    <row r="26" spans="1:66">
      <c r="B26" t="s">
        <v>9</v>
      </c>
      <c r="C26" s="6">
        <f t="shared" ref="C26:AH26" si="17">SUM(C22:C25)</f>
        <v>4</v>
      </c>
      <c r="D26" s="6">
        <f t="shared" si="17"/>
        <v>4</v>
      </c>
      <c r="E26" s="6">
        <f t="shared" si="17"/>
        <v>4</v>
      </c>
      <c r="F26" s="6">
        <f t="shared" si="17"/>
        <v>4</v>
      </c>
      <c r="G26" s="6">
        <f t="shared" si="17"/>
        <v>4</v>
      </c>
      <c r="H26" s="6">
        <f t="shared" si="17"/>
        <v>4</v>
      </c>
      <c r="I26" s="6">
        <f t="shared" si="17"/>
        <v>4</v>
      </c>
      <c r="J26" s="6">
        <f t="shared" si="17"/>
        <v>4</v>
      </c>
      <c r="K26" s="6">
        <f t="shared" si="17"/>
        <v>4</v>
      </c>
      <c r="L26" s="6">
        <f t="shared" si="17"/>
        <v>4</v>
      </c>
      <c r="M26" s="6">
        <f t="shared" si="17"/>
        <v>4</v>
      </c>
      <c r="N26" s="6">
        <f t="shared" si="17"/>
        <v>4</v>
      </c>
      <c r="O26" s="6">
        <f t="shared" si="17"/>
        <v>4</v>
      </c>
      <c r="P26" s="6">
        <f t="shared" si="17"/>
        <v>4</v>
      </c>
      <c r="Q26" s="6">
        <f t="shared" si="17"/>
        <v>4</v>
      </c>
      <c r="R26" s="6">
        <f t="shared" si="17"/>
        <v>4</v>
      </c>
      <c r="S26" s="6">
        <f t="shared" si="17"/>
        <v>4</v>
      </c>
      <c r="T26" s="6">
        <f t="shared" si="17"/>
        <v>4</v>
      </c>
      <c r="U26" s="6">
        <f t="shared" si="17"/>
        <v>4</v>
      </c>
      <c r="V26" s="6">
        <f t="shared" si="17"/>
        <v>4</v>
      </c>
      <c r="W26" s="6">
        <f t="shared" si="17"/>
        <v>4</v>
      </c>
      <c r="X26" s="6">
        <f t="shared" si="17"/>
        <v>4</v>
      </c>
      <c r="Y26" s="6">
        <f t="shared" si="17"/>
        <v>4</v>
      </c>
      <c r="Z26" s="6">
        <f t="shared" si="17"/>
        <v>4</v>
      </c>
      <c r="AA26" s="6">
        <f t="shared" si="17"/>
        <v>4</v>
      </c>
      <c r="AB26" s="6">
        <f t="shared" si="17"/>
        <v>4</v>
      </c>
      <c r="AC26" s="6">
        <f t="shared" si="17"/>
        <v>4</v>
      </c>
      <c r="AD26" s="6">
        <f t="shared" si="17"/>
        <v>4</v>
      </c>
      <c r="AE26" s="6">
        <f t="shared" si="17"/>
        <v>4</v>
      </c>
      <c r="AF26" s="6">
        <f t="shared" si="17"/>
        <v>4</v>
      </c>
      <c r="AG26" s="6">
        <f t="shared" si="17"/>
        <v>4</v>
      </c>
      <c r="AH26" s="6">
        <f t="shared" si="17"/>
        <v>4</v>
      </c>
      <c r="AI26" s="6">
        <f t="shared" ref="AI26:BN26" si="18">SUM(AI22:AI25)</f>
        <v>4</v>
      </c>
      <c r="AJ26" s="6">
        <f t="shared" si="18"/>
        <v>4</v>
      </c>
      <c r="AK26" s="6">
        <f t="shared" si="18"/>
        <v>4</v>
      </c>
      <c r="AL26" s="6">
        <f t="shared" si="18"/>
        <v>4</v>
      </c>
      <c r="AM26" s="6">
        <f t="shared" si="18"/>
        <v>4</v>
      </c>
      <c r="AN26" s="6">
        <f t="shared" si="18"/>
        <v>4</v>
      </c>
      <c r="AO26" s="6">
        <f t="shared" si="18"/>
        <v>4</v>
      </c>
      <c r="AP26" s="6">
        <f t="shared" si="18"/>
        <v>4</v>
      </c>
      <c r="AQ26" s="6">
        <f t="shared" si="18"/>
        <v>4</v>
      </c>
      <c r="AR26" s="6">
        <f t="shared" si="18"/>
        <v>4</v>
      </c>
      <c r="AS26" s="6">
        <f t="shared" si="18"/>
        <v>4</v>
      </c>
      <c r="AT26" s="6">
        <f t="shared" si="18"/>
        <v>3</v>
      </c>
      <c r="AU26" s="6">
        <f t="shared" si="18"/>
        <v>2</v>
      </c>
      <c r="AV26" s="6">
        <f t="shared" si="18"/>
        <v>2</v>
      </c>
      <c r="AW26" s="6">
        <f t="shared" si="18"/>
        <v>2</v>
      </c>
      <c r="AX26" s="6">
        <f t="shared" si="18"/>
        <v>2</v>
      </c>
      <c r="AY26" s="6">
        <f t="shared" si="18"/>
        <v>2</v>
      </c>
      <c r="AZ26" s="6">
        <f t="shared" si="18"/>
        <v>2</v>
      </c>
      <c r="BA26" s="6">
        <f t="shared" si="18"/>
        <v>2</v>
      </c>
      <c r="BB26" s="6">
        <f t="shared" si="18"/>
        <v>2</v>
      </c>
      <c r="BC26" s="6">
        <f t="shared" si="18"/>
        <v>2</v>
      </c>
      <c r="BD26" s="6">
        <f t="shared" si="18"/>
        <v>2</v>
      </c>
      <c r="BE26" s="6">
        <f t="shared" si="18"/>
        <v>2</v>
      </c>
      <c r="BF26" s="6">
        <f t="shared" si="18"/>
        <v>2</v>
      </c>
      <c r="BG26" s="6">
        <f t="shared" si="18"/>
        <v>1</v>
      </c>
      <c r="BH26" s="6">
        <f t="shared" si="18"/>
        <v>1</v>
      </c>
      <c r="BI26" s="6">
        <f t="shared" si="18"/>
        <v>1</v>
      </c>
      <c r="BJ26" s="6">
        <f t="shared" si="18"/>
        <v>1</v>
      </c>
      <c r="BK26" s="6">
        <f t="shared" si="18"/>
        <v>1</v>
      </c>
      <c r="BL26" s="6">
        <f t="shared" si="18"/>
        <v>1</v>
      </c>
      <c r="BM26" s="6">
        <f t="shared" si="18"/>
        <v>1</v>
      </c>
      <c r="BN26" s="6">
        <f t="shared" si="18"/>
        <v>1</v>
      </c>
    </row>
    <row r="27" spans="1:66">
      <c r="AY27" s="4" t="s">
        <v>21</v>
      </c>
    </row>
    <row r="28" spans="1:66">
      <c r="B28" t="s">
        <v>10</v>
      </c>
    </row>
    <row r="29" spans="1:66">
      <c r="B29" s="1" t="s">
        <v>16</v>
      </c>
      <c r="C29" s="1" t="str">
        <f>IF(OR(BN26=4,BN26=2),LEFT(C19,64),C19)</f>
        <v>The quick brown fox jumps over the lazy cog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D77"/>
  <sheetViews>
    <sheetView tabSelected="1" topLeftCell="B12" zoomScaleNormal="100" workbookViewId="0">
      <selection activeCell="AU28" sqref="AU28:AX28"/>
    </sheetView>
  </sheetViews>
  <sheetFormatPr defaultRowHeight="17.399999999999999"/>
  <cols>
    <col min="1" max="1" width="9" style="3"/>
    <col min="2" max="2" width="20.09765625" customWidth="1"/>
    <col min="3" max="77" width="3.09765625" customWidth="1"/>
    <col min="78" max="78" width="4.19921875" customWidth="1"/>
    <col min="79" max="88" width="3.09765625" customWidth="1"/>
  </cols>
  <sheetData>
    <row r="2" spans="1:66" ht="21">
      <c r="B2" s="2" t="s">
        <v>118</v>
      </c>
      <c r="C2" s="1" t="s">
        <v>29</v>
      </c>
      <c r="BE2" t="s">
        <v>23</v>
      </c>
    </row>
    <row r="3" spans="1:66">
      <c r="C3" s="1" t="s">
        <v>30</v>
      </c>
    </row>
    <row r="4" spans="1:66">
      <c r="C4" s="1" t="s">
        <v>119</v>
      </c>
    </row>
    <row r="6" spans="1:66">
      <c r="A6" s="7" t="s">
        <v>19</v>
      </c>
      <c r="B6" s="1" t="s">
        <v>15</v>
      </c>
      <c r="C6" s="1" t="str">
        <f>메시지분할!C17</f>
        <v>The quick brown fox jumps over the lazy dog</v>
      </c>
    </row>
    <row r="7" spans="1:66">
      <c r="B7" t="s">
        <v>5</v>
      </c>
      <c r="C7" s="5">
        <v>0</v>
      </c>
      <c r="D7" s="5">
        <v>1</v>
      </c>
      <c r="E7" s="5">
        <v>2</v>
      </c>
      <c r="F7" s="5">
        <v>3</v>
      </c>
      <c r="G7" s="5">
        <v>4</v>
      </c>
      <c r="H7" s="5">
        <v>5</v>
      </c>
      <c r="I7" s="5">
        <v>6</v>
      </c>
      <c r="J7" s="5">
        <v>7</v>
      </c>
      <c r="K7" s="5">
        <v>8</v>
      </c>
      <c r="L7" s="5">
        <v>9</v>
      </c>
      <c r="M7" s="5">
        <v>10</v>
      </c>
      <c r="N7" s="5">
        <v>11</v>
      </c>
      <c r="O7" s="5">
        <v>12</v>
      </c>
      <c r="P7" s="5">
        <v>13</v>
      </c>
      <c r="Q7" s="5">
        <v>14</v>
      </c>
      <c r="R7" s="5">
        <v>15</v>
      </c>
      <c r="S7" s="5">
        <v>16</v>
      </c>
      <c r="T7" s="5">
        <v>17</v>
      </c>
      <c r="U7" s="5">
        <v>18</v>
      </c>
      <c r="V7" s="5">
        <v>19</v>
      </c>
      <c r="W7" s="5">
        <v>20</v>
      </c>
      <c r="X7" s="5">
        <v>21</v>
      </c>
      <c r="Y7" s="5">
        <v>22</v>
      </c>
      <c r="Z7" s="5">
        <v>23</v>
      </c>
      <c r="AA7" s="5">
        <v>24</v>
      </c>
      <c r="AB7" s="5">
        <v>25</v>
      </c>
      <c r="AC7" s="5">
        <v>26</v>
      </c>
      <c r="AD7" s="5">
        <v>27</v>
      </c>
      <c r="AE7" s="5">
        <v>28</v>
      </c>
      <c r="AF7" s="5">
        <v>29</v>
      </c>
      <c r="AG7" s="5">
        <v>30</v>
      </c>
      <c r="AH7" s="5">
        <v>31</v>
      </c>
      <c r="AI7" s="5">
        <v>32</v>
      </c>
      <c r="AJ7" s="5">
        <v>33</v>
      </c>
      <c r="AK7" s="5">
        <v>34</v>
      </c>
      <c r="AL7" s="5">
        <v>35</v>
      </c>
      <c r="AM7" s="5">
        <v>36</v>
      </c>
      <c r="AN7" s="5">
        <v>37</v>
      </c>
      <c r="AO7" s="5">
        <v>38</v>
      </c>
      <c r="AP7" s="5">
        <v>39</v>
      </c>
      <c r="AQ7" s="5">
        <v>40</v>
      </c>
      <c r="AR7" s="5">
        <v>41</v>
      </c>
      <c r="AS7" s="5">
        <v>42</v>
      </c>
      <c r="AT7" s="5">
        <v>43</v>
      </c>
      <c r="AU7" s="5">
        <v>44</v>
      </c>
      <c r="AV7" s="5">
        <v>45</v>
      </c>
      <c r="AW7" s="5">
        <v>46</v>
      </c>
      <c r="AX7" s="5">
        <v>47</v>
      </c>
      <c r="AY7" s="5">
        <v>48</v>
      </c>
      <c r="AZ7" s="5">
        <v>49</v>
      </c>
      <c r="BA7" s="5">
        <v>50</v>
      </c>
      <c r="BB7" s="5">
        <v>51</v>
      </c>
      <c r="BC7" s="5">
        <v>52</v>
      </c>
      <c r="BD7" s="5">
        <v>53</v>
      </c>
      <c r="BE7" s="5">
        <v>54</v>
      </c>
      <c r="BF7" s="5">
        <v>55</v>
      </c>
      <c r="BG7" s="5">
        <v>56</v>
      </c>
      <c r="BH7" s="5">
        <v>57</v>
      </c>
      <c r="BI7" s="5">
        <v>58</v>
      </c>
      <c r="BJ7" s="5">
        <v>59</v>
      </c>
      <c r="BK7" s="5">
        <v>60</v>
      </c>
      <c r="BL7" s="5">
        <v>61</v>
      </c>
      <c r="BM7" s="5">
        <v>62</v>
      </c>
      <c r="BN7" s="5">
        <v>63</v>
      </c>
    </row>
    <row r="8" spans="1:66">
      <c r="B8" t="s">
        <v>25</v>
      </c>
      <c r="C8" s="14">
        <f>메시지분할!C14</f>
        <v>4</v>
      </c>
      <c r="D8" s="14">
        <f>메시지분할!D14</f>
        <v>4</v>
      </c>
      <c r="E8" s="14">
        <f>메시지분할!E14</f>
        <v>4</v>
      </c>
      <c r="F8" s="14">
        <f>메시지분할!F14</f>
        <v>4</v>
      </c>
      <c r="G8" s="14">
        <f>메시지분할!G14</f>
        <v>4</v>
      </c>
      <c r="H8" s="14">
        <f>메시지분할!H14</f>
        <v>4</v>
      </c>
      <c r="I8" s="14">
        <f>메시지분할!I14</f>
        <v>4</v>
      </c>
      <c r="J8" s="14">
        <f>메시지분할!J14</f>
        <v>4</v>
      </c>
      <c r="K8" s="14">
        <f>메시지분할!K14</f>
        <v>4</v>
      </c>
      <c r="L8" s="14">
        <f>메시지분할!L14</f>
        <v>4</v>
      </c>
      <c r="M8" s="14">
        <f>메시지분할!M14</f>
        <v>4</v>
      </c>
      <c r="N8" s="14">
        <f>메시지분할!N14</f>
        <v>4</v>
      </c>
      <c r="O8" s="14">
        <f>메시지분할!O14</f>
        <v>4</v>
      </c>
      <c r="P8" s="14">
        <f>메시지분할!P14</f>
        <v>4</v>
      </c>
      <c r="Q8" s="14">
        <f>메시지분할!Q14</f>
        <v>4</v>
      </c>
      <c r="R8" s="14">
        <f>메시지분할!R14</f>
        <v>4</v>
      </c>
      <c r="S8" s="14">
        <f>메시지분할!S14</f>
        <v>4</v>
      </c>
      <c r="T8" s="14">
        <f>메시지분할!T14</f>
        <v>4</v>
      </c>
      <c r="U8" s="14">
        <f>메시지분할!U14</f>
        <v>4</v>
      </c>
      <c r="V8" s="14">
        <f>메시지분할!V14</f>
        <v>4</v>
      </c>
      <c r="W8" s="14">
        <f>메시지분할!W14</f>
        <v>4</v>
      </c>
      <c r="X8" s="14">
        <f>메시지분할!X14</f>
        <v>4</v>
      </c>
      <c r="Y8" s="14">
        <f>메시지분할!Y14</f>
        <v>4</v>
      </c>
      <c r="Z8" s="14">
        <f>메시지분할!Z14</f>
        <v>4</v>
      </c>
      <c r="AA8" s="14">
        <f>메시지분할!AA14</f>
        <v>4</v>
      </c>
      <c r="AB8" s="14">
        <f>메시지분할!AB14</f>
        <v>4</v>
      </c>
      <c r="AC8" s="14">
        <f>메시지분할!AC14</f>
        <v>4</v>
      </c>
      <c r="AD8" s="14">
        <f>메시지분할!AD14</f>
        <v>4</v>
      </c>
      <c r="AE8" s="14">
        <f>메시지분할!AE14</f>
        <v>4</v>
      </c>
      <c r="AF8" s="14">
        <f>메시지분할!AF14</f>
        <v>4</v>
      </c>
      <c r="AG8" s="14">
        <f>메시지분할!AG14</f>
        <v>4</v>
      </c>
      <c r="AH8" s="14">
        <f>메시지분할!AH14</f>
        <v>4</v>
      </c>
      <c r="AI8" s="14">
        <f>메시지분할!AI14</f>
        <v>4</v>
      </c>
      <c r="AJ8" s="14">
        <f>메시지분할!AJ14</f>
        <v>4</v>
      </c>
      <c r="AK8" s="14">
        <f>메시지분할!AK14</f>
        <v>4</v>
      </c>
      <c r="AL8" s="14">
        <f>메시지분할!AL14</f>
        <v>4</v>
      </c>
      <c r="AM8" s="14">
        <f>메시지분할!AM14</f>
        <v>4</v>
      </c>
      <c r="AN8" s="14">
        <f>메시지분할!AN14</f>
        <v>4</v>
      </c>
      <c r="AO8" s="14">
        <f>메시지분할!AO14</f>
        <v>4</v>
      </c>
      <c r="AP8" s="14">
        <f>메시지분할!AP14</f>
        <v>4</v>
      </c>
      <c r="AQ8" s="14">
        <f>메시지분할!AQ14</f>
        <v>4</v>
      </c>
      <c r="AR8" s="14">
        <f>메시지분할!AR14</f>
        <v>4</v>
      </c>
      <c r="AS8" s="14">
        <f>메시지분할!AS14</f>
        <v>4</v>
      </c>
      <c r="AT8" s="14">
        <f>메시지분할!AT14</f>
        <v>3</v>
      </c>
      <c r="AU8" s="14">
        <f>메시지분할!AU14</f>
        <v>2</v>
      </c>
      <c r="AV8" s="14">
        <f>메시지분할!AV14</f>
        <v>2</v>
      </c>
      <c r="AW8" s="14">
        <f>메시지분할!AW14</f>
        <v>2</v>
      </c>
      <c r="AX8" s="14">
        <f>메시지분할!AX14</f>
        <v>2</v>
      </c>
      <c r="AY8" s="14">
        <f>메시지분할!AY14</f>
        <v>2</v>
      </c>
      <c r="AZ8" s="14">
        <f>메시지분할!AZ14</f>
        <v>2</v>
      </c>
      <c r="BA8" s="14">
        <f>메시지분할!BA14</f>
        <v>2</v>
      </c>
      <c r="BB8" s="14">
        <f>메시지분할!BB14</f>
        <v>2</v>
      </c>
      <c r="BC8" s="14">
        <f>메시지분할!BC14</f>
        <v>2</v>
      </c>
      <c r="BD8" s="14">
        <f>메시지분할!BD14</f>
        <v>2</v>
      </c>
      <c r="BE8" s="14">
        <f>메시지분할!BE14</f>
        <v>2</v>
      </c>
      <c r="BF8" s="14">
        <f>메시지분할!BF14</f>
        <v>2</v>
      </c>
      <c r="BG8" s="14">
        <f>메시지분할!BG14</f>
        <v>1</v>
      </c>
      <c r="BH8" s="14">
        <f>메시지분할!BH14</f>
        <v>1</v>
      </c>
      <c r="BI8" s="14">
        <f>메시지분할!BI14</f>
        <v>1</v>
      </c>
      <c r="BJ8" s="14">
        <f>메시지분할!BJ14</f>
        <v>1</v>
      </c>
      <c r="BK8" s="14">
        <f>메시지분할!BK14</f>
        <v>1</v>
      </c>
      <c r="BL8" s="14">
        <f>메시지분할!BL14</f>
        <v>1</v>
      </c>
      <c r="BM8" s="14">
        <f>메시지분할!BM14</f>
        <v>1</v>
      </c>
      <c r="BN8" s="14">
        <f>메시지분할!BN14</f>
        <v>1</v>
      </c>
    </row>
    <row r="9" spans="1:66"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G9" t="str">
        <f>REPT("0",16-LEN(DEC2HEX(종합!$C$3*8)))&amp;DEC2HEX(종합!$C$3*8)</f>
        <v>0000000000000158</v>
      </c>
    </row>
    <row r="10" spans="1:66">
      <c r="B10" s="1" t="s">
        <v>28</v>
      </c>
      <c r="C10" t="s">
        <v>6</v>
      </c>
      <c r="J10" t="s">
        <v>115</v>
      </c>
      <c r="Q10" t="s">
        <v>7</v>
      </c>
      <c r="W10" t="s">
        <v>8</v>
      </c>
      <c r="AD10" s="53" t="s">
        <v>27</v>
      </c>
      <c r="AE10" s="54"/>
      <c r="AF10" s="55"/>
    </row>
    <row r="11" spans="1:66">
      <c r="B11" t="s">
        <v>26</v>
      </c>
      <c r="C11" s="5">
        <v>0</v>
      </c>
      <c r="D11" s="5">
        <v>1</v>
      </c>
      <c r="E11" s="5">
        <v>2</v>
      </c>
      <c r="F11" s="5">
        <v>3</v>
      </c>
      <c r="J11" s="5">
        <v>0</v>
      </c>
      <c r="K11" s="5">
        <v>1</v>
      </c>
      <c r="L11" s="5">
        <v>2</v>
      </c>
      <c r="M11" s="5">
        <v>3</v>
      </c>
      <c r="Q11" s="5">
        <v>0</v>
      </c>
      <c r="R11" s="5">
        <v>1</v>
      </c>
      <c r="S11" s="5">
        <v>2</v>
      </c>
      <c r="T11" s="5">
        <v>3</v>
      </c>
      <c r="W11" s="5">
        <v>0</v>
      </c>
      <c r="X11" s="5">
        <v>1</v>
      </c>
      <c r="Y11" s="5">
        <v>2</v>
      </c>
      <c r="Z11" s="5">
        <v>3</v>
      </c>
      <c r="AD11" s="45" t="s">
        <v>26</v>
      </c>
      <c r="AE11" s="45"/>
      <c r="AF11" s="45"/>
      <c r="AG11" s="5">
        <v>0</v>
      </c>
      <c r="AH11" s="5">
        <v>1</v>
      </c>
      <c r="AI11" s="5">
        <v>2</v>
      </c>
      <c r="AJ11" s="5">
        <v>3</v>
      </c>
      <c r="AL11" s="45" t="s">
        <v>251</v>
      </c>
      <c r="AM11" s="45"/>
      <c r="AN11" s="45"/>
      <c r="AO11" s="45"/>
    </row>
    <row r="12" spans="1:66">
      <c r="B12" s="24" t="s">
        <v>31</v>
      </c>
      <c r="C12" s="5" t="str">
        <f>IF(C8=4,DEC2HEX(CODE(MID($C6,C7+1,1)),2),"")</f>
        <v>54</v>
      </c>
      <c r="D12" s="5" t="str">
        <f t="shared" ref="D12:F12" si="0">IF(D8=4,DEC2HEX(CODE(MID($C6,D7+1,1)),2),"")</f>
        <v>68</v>
      </c>
      <c r="E12" s="5" t="str">
        <f t="shared" si="0"/>
        <v>65</v>
      </c>
      <c r="F12" s="5" t="str">
        <f t="shared" si="0"/>
        <v>20</v>
      </c>
      <c r="J12" s="5" t="str">
        <f>IF(C8=3,"80","")</f>
        <v/>
      </c>
      <c r="K12" s="5" t="str">
        <f t="shared" ref="K12:M12" si="1">IF(D8=3,"80","")</f>
        <v/>
      </c>
      <c r="L12" s="5" t="str">
        <f t="shared" si="1"/>
        <v/>
      </c>
      <c r="M12" s="5" t="str">
        <f t="shared" si="1"/>
        <v/>
      </c>
      <c r="Q12" s="5" t="str">
        <f>IF(C8=2,DEC2HEX(0,2),"")</f>
        <v/>
      </c>
      <c r="R12" s="5" t="str">
        <f t="shared" ref="R12:T12" si="2">IF(D8=2,DEC2HEX(0,2),"")</f>
        <v/>
      </c>
      <c r="S12" s="5" t="str">
        <f t="shared" si="2"/>
        <v/>
      </c>
      <c r="T12" s="5" t="str">
        <f t="shared" si="2"/>
        <v/>
      </c>
      <c r="W12" s="5" t="str">
        <f>IF(C8=1,2,"")</f>
        <v/>
      </c>
      <c r="X12" s="5" t="str">
        <f t="shared" ref="X12:Z12" si="3">IF(D8=1,2,"")</f>
        <v/>
      </c>
      <c r="Y12" s="5" t="str">
        <f t="shared" si="3"/>
        <v/>
      </c>
      <c r="Z12" s="5" t="str">
        <f t="shared" si="3"/>
        <v/>
      </c>
      <c r="AD12" s="49" t="s">
        <v>31</v>
      </c>
      <c r="AE12" s="49"/>
      <c r="AF12" s="49"/>
      <c r="AG12" s="16" t="str">
        <f>CONCATENATE(C12,J12,Q12,W12)</f>
        <v>54</v>
      </c>
      <c r="AH12" s="16" t="str">
        <f>CONCATENATE(D12,K12,R12,X12)</f>
        <v>68</v>
      </c>
      <c r="AI12" s="16" t="str">
        <f>CONCATENATE(E12,L12,S12,Y12)</f>
        <v>65</v>
      </c>
      <c r="AJ12" s="16" t="str">
        <f>CONCATENATE(F12,M12,T12,Z12)</f>
        <v>20</v>
      </c>
      <c r="AL12" s="44" t="str">
        <f>CONCATENATE(AG12,AH12,AI12,AJ12)</f>
        <v>54686520</v>
      </c>
      <c r="AM12" s="44"/>
      <c r="AN12" s="44"/>
      <c r="AO12" s="44"/>
    </row>
    <row r="13" spans="1:66">
      <c r="B13" s="24" t="s">
        <v>32</v>
      </c>
      <c r="C13" s="5" t="str">
        <f>IF(G8=4,DEC2HEX(CODE(MID($C6,G7+1,1)),2),"")</f>
        <v>71</v>
      </c>
      <c r="D13" s="5" t="str">
        <f t="shared" ref="D13:F13" si="4">IF(H8=4,DEC2HEX(CODE(MID($C6,H7+1,1)),2),"")</f>
        <v>75</v>
      </c>
      <c r="E13" s="5" t="str">
        <f t="shared" si="4"/>
        <v>69</v>
      </c>
      <c r="F13" s="5" t="str">
        <f t="shared" si="4"/>
        <v>63</v>
      </c>
      <c r="J13" s="5" t="str">
        <f>IF(G8=3,"80","")</f>
        <v/>
      </c>
      <c r="K13" s="5" t="str">
        <f t="shared" ref="K13:M13" si="5">IF(H8=3,"80","")</f>
        <v/>
      </c>
      <c r="L13" s="5" t="str">
        <f t="shared" si="5"/>
        <v/>
      </c>
      <c r="M13" s="5" t="str">
        <f t="shared" si="5"/>
        <v/>
      </c>
      <c r="Q13" s="5" t="str">
        <f>IF(G8=2,DEC2HEX(0,2),"")</f>
        <v/>
      </c>
      <c r="R13" s="5" t="str">
        <f t="shared" ref="R13:T13" si="6">IF(H8=2,DEC2HEX(0,2),"")</f>
        <v/>
      </c>
      <c r="S13" s="5" t="str">
        <f t="shared" si="6"/>
        <v/>
      </c>
      <c r="T13" s="5" t="str">
        <f t="shared" si="6"/>
        <v/>
      </c>
      <c r="W13" s="5" t="str">
        <f>IF(G8=1,2,"")</f>
        <v/>
      </c>
      <c r="X13" s="5" t="str">
        <f t="shared" ref="X13:Z13" si="7">IF(H8=1,2,"")</f>
        <v/>
      </c>
      <c r="Y13" s="5" t="str">
        <f t="shared" si="7"/>
        <v/>
      </c>
      <c r="Z13" s="5" t="str">
        <f t="shared" si="7"/>
        <v/>
      </c>
      <c r="AD13" s="49" t="s">
        <v>33</v>
      </c>
      <c r="AE13" s="49"/>
      <c r="AF13" s="49"/>
      <c r="AG13" s="16" t="str">
        <f t="shared" ref="AG13:AG27" si="8">CONCATENATE(C13,J13,Q13,W13)</f>
        <v>71</v>
      </c>
      <c r="AH13" s="16" t="str">
        <f t="shared" ref="AH13:AH27" si="9">CONCATENATE(D13,K13,R13,X13)</f>
        <v>75</v>
      </c>
      <c r="AI13" s="16" t="str">
        <f t="shared" ref="AI13:AI27" si="10">CONCATENATE(E13,L13,S13,Y13)</f>
        <v>69</v>
      </c>
      <c r="AJ13" s="16" t="str">
        <f t="shared" ref="AJ13:AJ27" si="11">CONCATENATE(F13,M13,T13,Z13)</f>
        <v>63</v>
      </c>
      <c r="AL13" s="44" t="str">
        <f t="shared" ref="AL13:AL75" si="12">CONCATENATE(AG13,AH13,AI13,AJ13)</f>
        <v>71756963</v>
      </c>
      <c r="AM13" s="44"/>
      <c r="AN13" s="44"/>
      <c r="AO13" s="44"/>
    </row>
    <row r="14" spans="1:66">
      <c r="B14" s="24" t="s">
        <v>34</v>
      </c>
      <c r="C14" s="5" t="str">
        <f>IF(K8=4,DEC2HEX(CODE(MID($C6,K7+1,1)),2),"")</f>
        <v>6B</v>
      </c>
      <c r="D14" s="5" t="str">
        <f t="shared" ref="D14:F14" si="13">IF(L8=4,DEC2HEX(CODE(MID($C6,L7+1,1)),2),"")</f>
        <v>20</v>
      </c>
      <c r="E14" s="5" t="str">
        <f t="shared" si="13"/>
        <v>62</v>
      </c>
      <c r="F14" s="5" t="str">
        <f t="shared" si="13"/>
        <v>72</v>
      </c>
      <c r="J14" s="5" t="str">
        <f>IF(K8=3,"80","")</f>
        <v/>
      </c>
      <c r="K14" s="5" t="str">
        <f t="shared" ref="K14:M14" si="14">IF(L8=3,"80","")</f>
        <v/>
      </c>
      <c r="L14" s="5" t="str">
        <f t="shared" si="14"/>
        <v/>
      </c>
      <c r="M14" s="5" t="str">
        <f t="shared" si="14"/>
        <v/>
      </c>
      <c r="Q14" s="5" t="str">
        <f>IF(K8=2,DEC2HEX(0,2),"")</f>
        <v/>
      </c>
      <c r="R14" s="5" t="str">
        <f t="shared" ref="R14:T14" si="15">IF(L8=2,DEC2HEX(0,2),"")</f>
        <v/>
      </c>
      <c r="S14" s="5" t="str">
        <f t="shared" si="15"/>
        <v/>
      </c>
      <c r="T14" s="5" t="str">
        <f t="shared" si="15"/>
        <v/>
      </c>
      <c r="W14" s="5" t="str">
        <f>IF(K8=1,2,"")</f>
        <v/>
      </c>
      <c r="X14" s="5" t="str">
        <f t="shared" ref="X14:Z14" si="16">IF(L8=1,2,"")</f>
        <v/>
      </c>
      <c r="Y14" s="5" t="str">
        <f t="shared" si="16"/>
        <v/>
      </c>
      <c r="Z14" s="5" t="str">
        <f t="shared" si="16"/>
        <v/>
      </c>
      <c r="AD14" s="49" t="s">
        <v>34</v>
      </c>
      <c r="AE14" s="49"/>
      <c r="AF14" s="49"/>
      <c r="AG14" s="16" t="str">
        <f t="shared" si="8"/>
        <v>6B</v>
      </c>
      <c r="AH14" s="16" t="str">
        <f t="shared" si="9"/>
        <v>20</v>
      </c>
      <c r="AI14" s="16" t="str">
        <f t="shared" si="10"/>
        <v>62</v>
      </c>
      <c r="AJ14" s="16" t="str">
        <f t="shared" si="11"/>
        <v>72</v>
      </c>
      <c r="AL14" s="44" t="str">
        <f t="shared" si="12"/>
        <v>6B206272</v>
      </c>
      <c r="AM14" s="44"/>
      <c r="AN14" s="44"/>
      <c r="AO14" s="44"/>
    </row>
    <row r="15" spans="1:66">
      <c r="B15" s="24" t="s">
        <v>35</v>
      </c>
      <c r="C15" s="5" t="str">
        <f>IF(O8=4,DEC2HEX(CODE(MID($C6,O7+1,1)),2),"")</f>
        <v>6F</v>
      </c>
      <c r="D15" s="5" t="str">
        <f t="shared" ref="D15:F15" si="17">IF(P8=4,DEC2HEX(CODE(MID($C6,P7+1,1)),2),"")</f>
        <v>77</v>
      </c>
      <c r="E15" s="5" t="str">
        <f t="shared" si="17"/>
        <v>6E</v>
      </c>
      <c r="F15" s="5" t="str">
        <f t="shared" si="17"/>
        <v>20</v>
      </c>
      <c r="J15" s="5" t="str">
        <f>IF(O8=3,"80","")</f>
        <v/>
      </c>
      <c r="K15" s="5" t="str">
        <f t="shared" ref="K15:M15" si="18">IF(P8=3,"80","")</f>
        <v/>
      </c>
      <c r="L15" s="5" t="str">
        <f t="shared" si="18"/>
        <v/>
      </c>
      <c r="M15" s="5" t="str">
        <f t="shared" si="18"/>
        <v/>
      </c>
      <c r="Q15" s="5" t="str">
        <f>IF(O8=2,DEC2HEX(0,2),"")</f>
        <v/>
      </c>
      <c r="R15" s="5" t="str">
        <f t="shared" ref="R15:T15" si="19">IF(P8=2,DEC2HEX(0,2),"")</f>
        <v/>
      </c>
      <c r="S15" s="5" t="str">
        <f t="shared" si="19"/>
        <v/>
      </c>
      <c r="T15" s="5" t="str">
        <f t="shared" si="19"/>
        <v/>
      </c>
      <c r="W15" s="5" t="str">
        <f>IF(O8=1,2,"")</f>
        <v/>
      </c>
      <c r="X15" s="5" t="str">
        <f t="shared" ref="X15:Z15" si="20">IF(P8=1,2,"")</f>
        <v/>
      </c>
      <c r="Y15" s="5" t="str">
        <f t="shared" si="20"/>
        <v/>
      </c>
      <c r="Z15" s="5" t="str">
        <f t="shared" si="20"/>
        <v/>
      </c>
      <c r="AD15" s="49" t="s">
        <v>35</v>
      </c>
      <c r="AE15" s="49"/>
      <c r="AF15" s="49"/>
      <c r="AG15" s="16" t="str">
        <f t="shared" si="8"/>
        <v>6F</v>
      </c>
      <c r="AH15" s="16" t="str">
        <f t="shared" si="9"/>
        <v>77</v>
      </c>
      <c r="AI15" s="16" t="str">
        <f t="shared" si="10"/>
        <v>6E</v>
      </c>
      <c r="AJ15" s="16" t="str">
        <f t="shared" si="11"/>
        <v>20</v>
      </c>
      <c r="AL15" s="44" t="str">
        <f t="shared" si="12"/>
        <v>6F776E20</v>
      </c>
      <c r="AM15" s="44"/>
      <c r="AN15" s="44"/>
      <c r="AO15" s="44"/>
    </row>
    <row r="16" spans="1:66">
      <c r="B16" s="24" t="s">
        <v>36</v>
      </c>
      <c r="C16" s="5" t="str">
        <f>IF(S8=4,DEC2HEX(CODE(MID($C6,S7+1,1)),2),"")</f>
        <v>66</v>
      </c>
      <c r="D16" s="5" t="str">
        <f t="shared" ref="D16:F16" si="21">IF(T8=4,DEC2HEX(CODE(MID($C6,T7+1,1)),2),"")</f>
        <v>6F</v>
      </c>
      <c r="E16" s="5" t="str">
        <f t="shared" si="21"/>
        <v>78</v>
      </c>
      <c r="F16" s="5" t="str">
        <f t="shared" si="21"/>
        <v>20</v>
      </c>
      <c r="J16" s="5" t="str">
        <f>IF(S8=3,"80","")</f>
        <v/>
      </c>
      <c r="K16" s="5" t="str">
        <f t="shared" ref="K16:M16" si="22">IF(T8=3,"80","")</f>
        <v/>
      </c>
      <c r="L16" s="5" t="str">
        <f t="shared" si="22"/>
        <v/>
      </c>
      <c r="M16" s="5" t="str">
        <f t="shared" si="22"/>
        <v/>
      </c>
      <c r="Q16" s="5" t="str">
        <f>IF(S8=2,DEC2HEX(0,2),"")</f>
        <v/>
      </c>
      <c r="R16" s="5" t="str">
        <f t="shared" ref="R16:T16" si="23">IF(T8=2,DEC2HEX(0,2),"")</f>
        <v/>
      </c>
      <c r="S16" s="5" t="str">
        <f t="shared" si="23"/>
        <v/>
      </c>
      <c r="T16" s="5" t="str">
        <f t="shared" si="23"/>
        <v/>
      </c>
      <c r="W16" s="5" t="str">
        <f>IF(S8=1,2,"")</f>
        <v/>
      </c>
      <c r="X16" s="5" t="str">
        <f t="shared" ref="X16:Z16" si="24">IF(T8=1,2,"")</f>
        <v/>
      </c>
      <c r="Y16" s="5" t="str">
        <f t="shared" si="24"/>
        <v/>
      </c>
      <c r="Z16" s="5" t="str">
        <f t="shared" si="24"/>
        <v/>
      </c>
      <c r="AD16" s="49" t="s">
        <v>36</v>
      </c>
      <c r="AE16" s="49"/>
      <c r="AF16" s="49"/>
      <c r="AG16" s="16" t="str">
        <f t="shared" si="8"/>
        <v>66</v>
      </c>
      <c r="AH16" s="16" t="str">
        <f t="shared" si="9"/>
        <v>6F</v>
      </c>
      <c r="AI16" s="16" t="str">
        <f t="shared" si="10"/>
        <v>78</v>
      </c>
      <c r="AJ16" s="16" t="str">
        <f t="shared" si="11"/>
        <v>20</v>
      </c>
      <c r="AL16" s="44" t="str">
        <f t="shared" si="12"/>
        <v>666F7820</v>
      </c>
      <c r="AM16" s="44"/>
      <c r="AN16" s="44"/>
      <c r="AO16" s="44"/>
    </row>
    <row r="17" spans="2:82">
      <c r="B17" s="24" t="s">
        <v>37</v>
      </c>
      <c r="C17" s="5" t="str">
        <f>IF(W8=4,DEC2HEX(CODE(MID($C6,W7+1,1)),2),"")</f>
        <v>6A</v>
      </c>
      <c r="D17" s="5" t="str">
        <f t="shared" ref="D17:F17" si="25">IF(X8=4,DEC2HEX(CODE(MID($C6,X7+1,1)),2),"")</f>
        <v>75</v>
      </c>
      <c r="E17" s="5" t="str">
        <f t="shared" si="25"/>
        <v>6D</v>
      </c>
      <c r="F17" s="5" t="str">
        <f t="shared" si="25"/>
        <v>70</v>
      </c>
      <c r="J17" s="5" t="str">
        <f>IF(W8=3,"80","")</f>
        <v/>
      </c>
      <c r="K17" s="5" t="str">
        <f t="shared" ref="K17:M17" si="26">IF(X8=3,"80","")</f>
        <v/>
      </c>
      <c r="L17" s="5" t="str">
        <f t="shared" si="26"/>
        <v/>
      </c>
      <c r="M17" s="5" t="str">
        <f t="shared" si="26"/>
        <v/>
      </c>
      <c r="Q17" s="5" t="str">
        <f>IF(W8=2,DEC2HEX(0,2),"")</f>
        <v/>
      </c>
      <c r="R17" s="5" t="str">
        <f t="shared" ref="R17:T17" si="27">IF(X8=2,DEC2HEX(0,2),"")</f>
        <v/>
      </c>
      <c r="S17" s="5" t="str">
        <f t="shared" si="27"/>
        <v/>
      </c>
      <c r="T17" s="5" t="str">
        <f t="shared" si="27"/>
        <v/>
      </c>
      <c r="W17" s="5" t="str">
        <f>IF(W8=1,2,"")</f>
        <v/>
      </c>
      <c r="X17" s="5" t="str">
        <f t="shared" ref="X17:Z17" si="28">IF(X8=1,2,"")</f>
        <v/>
      </c>
      <c r="Y17" s="5" t="str">
        <f t="shared" si="28"/>
        <v/>
      </c>
      <c r="Z17" s="5" t="str">
        <f t="shared" si="28"/>
        <v/>
      </c>
      <c r="AD17" s="49" t="s">
        <v>37</v>
      </c>
      <c r="AE17" s="49"/>
      <c r="AF17" s="49"/>
      <c r="AG17" s="16" t="str">
        <f t="shared" si="8"/>
        <v>6A</v>
      </c>
      <c r="AH17" s="16" t="str">
        <f t="shared" si="9"/>
        <v>75</v>
      </c>
      <c r="AI17" s="16" t="str">
        <f t="shared" si="10"/>
        <v>6D</v>
      </c>
      <c r="AJ17" s="16" t="str">
        <f t="shared" si="11"/>
        <v>70</v>
      </c>
      <c r="AL17" s="44" t="str">
        <f t="shared" si="12"/>
        <v>6A756D70</v>
      </c>
      <c r="AM17" s="44"/>
      <c r="AN17" s="44"/>
      <c r="AO17" s="44"/>
      <c r="BC17" t="str">
        <f>REPT("0",32-17)&amp;REPT("1",17)</f>
        <v>00000000000000011111111111111111</v>
      </c>
    </row>
    <row r="18" spans="2:82">
      <c r="B18" s="24" t="s">
        <v>38</v>
      </c>
      <c r="C18" s="5" t="str">
        <f>IF(AA8=4,DEC2HEX(CODE(MID($C6,AA7+1,1)),2),"")</f>
        <v>73</v>
      </c>
      <c r="D18" s="5" t="str">
        <f t="shared" ref="D18:F18" si="29">IF(AB8=4,DEC2HEX(CODE(MID($C6,AB7+1,1)),2),"")</f>
        <v>20</v>
      </c>
      <c r="E18" s="5" t="str">
        <f t="shared" si="29"/>
        <v>6F</v>
      </c>
      <c r="F18" s="5" t="str">
        <f t="shared" si="29"/>
        <v>76</v>
      </c>
      <c r="J18" s="5" t="str">
        <f>IF(AA8=3,"80","")</f>
        <v/>
      </c>
      <c r="K18" s="5" t="str">
        <f t="shared" ref="K18:M18" si="30">IF(AB8=3,"80","")</f>
        <v/>
      </c>
      <c r="L18" s="5" t="str">
        <f t="shared" si="30"/>
        <v/>
      </c>
      <c r="M18" s="5" t="str">
        <f t="shared" si="30"/>
        <v/>
      </c>
      <c r="Q18" s="5" t="str">
        <f>IF(AA8=2,DEC2HEX(0,2),"")</f>
        <v/>
      </c>
      <c r="R18" s="5" t="str">
        <f t="shared" ref="R18:T18" si="31">IF(AB8=2,DEC2HEX(0,2),"")</f>
        <v/>
      </c>
      <c r="S18" s="5" t="str">
        <f t="shared" si="31"/>
        <v/>
      </c>
      <c r="T18" s="5" t="str">
        <f t="shared" si="31"/>
        <v/>
      </c>
      <c r="W18" s="5" t="str">
        <f>IF(AA8=1,2,"")</f>
        <v/>
      </c>
      <c r="X18" s="5" t="str">
        <f t="shared" ref="X18:Z18" si="32">IF(AB8=1,2,"")</f>
        <v/>
      </c>
      <c r="Y18" s="5" t="str">
        <f t="shared" si="32"/>
        <v/>
      </c>
      <c r="Z18" s="5" t="str">
        <f t="shared" si="32"/>
        <v/>
      </c>
      <c r="AD18" s="49" t="s">
        <v>38</v>
      </c>
      <c r="AE18" s="49"/>
      <c r="AF18" s="49"/>
      <c r="AG18" s="16" t="str">
        <f t="shared" si="8"/>
        <v>73</v>
      </c>
      <c r="AH18" s="16" t="str">
        <f t="shared" si="9"/>
        <v>20</v>
      </c>
      <c r="AI18" s="16" t="str">
        <f t="shared" si="10"/>
        <v>6F</v>
      </c>
      <c r="AJ18" s="16" t="str">
        <f t="shared" si="11"/>
        <v>76</v>
      </c>
      <c r="AL18" s="44" t="str">
        <f t="shared" si="12"/>
        <v>73206F76</v>
      </c>
      <c r="AM18" s="44"/>
      <c r="AN18" s="44"/>
      <c r="AO18" s="44"/>
    </row>
    <row r="19" spans="2:82">
      <c r="B19" s="24" t="s">
        <v>39</v>
      </c>
      <c r="C19" s="5" t="str">
        <f>IF(AE8=4,DEC2HEX(CODE(MID($C6,AE7+1,1)),2),"")</f>
        <v>65</v>
      </c>
      <c r="D19" s="5" t="str">
        <f t="shared" ref="D19:F19" si="33">IF(AF8=4,DEC2HEX(CODE(MID($C6,AF7+1,1)),2),"")</f>
        <v>72</v>
      </c>
      <c r="E19" s="5" t="str">
        <f t="shared" si="33"/>
        <v>20</v>
      </c>
      <c r="F19" s="5" t="str">
        <f t="shared" si="33"/>
        <v>74</v>
      </c>
      <c r="J19" s="5" t="str">
        <f>IF(AE8=3,"80","")</f>
        <v/>
      </c>
      <c r="K19" s="5" t="str">
        <f t="shared" ref="K19:M19" si="34">IF(AF8=3,"80","")</f>
        <v/>
      </c>
      <c r="L19" s="5" t="str">
        <f t="shared" si="34"/>
        <v/>
      </c>
      <c r="M19" s="5" t="str">
        <f t="shared" si="34"/>
        <v/>
      </c>
      <c r="Q19" s="5" t="str">
        <f>IF(AE8=2,DEC2HEX(0,2),"")</f>
        <v/>
      </c>
      <c r="R19" s="5" t="str">
        <f t="shared" ref="R19:T19" si="35">IF(AF8=2,DEC2HEX(0,2),"")</f>
        <v/>
      </c>
      <c r="S19" s="5" t="str">
        <f t="shared" si="35"/>
        <v/>
      </c>
      <c r="T19" s="5" t="str">
        <f t="shared" si="35"/>
        <v/>
      </c>
      <c r="W19" s="5" t="str">
        <f>IF(AE8=1,2,"")</f>
        <v/>
      </c>
      <c r="X19" s="5" t="str">
        <f t="shared" ref="X19:Z19" si="36">IF(AF8=1,2,"")</f>
        <v/>
      </c>
      <c r="Y19" s="5" t="str">
        <f t="shared" si="36"/>
        <v/>
      </c>
      <c r="Z19" s="5" t="str">
        <f t="shared" si="36"/>
        <v/>
      </c>
      <c r="AD19" s="49" t="s">
        <v>39</v>
      </c>
      <c r="AE19" s="49"/>
      <c r="AF19" s="49"/>
      <c r="AG19" s="16" t="str">
        <f t="shared" si="8"/>
        <v>65</v>
      </c>
      <c r="AH19" s="16" t="str">
        <f t="shared" si="9"/>
        <v>72</v>
      </c>
      <c r="AI19" s="16" t="str">
        <f t="shared" si="10"/>
        <v>20</v>
      </c>
      <c r="AJ19" s="16" t="str">
        <f t="shared" si="11"/>
        <v>74</v>
      </c>
      <c r="AL19" s="44" t="str">
        <f t="shared" si="12"/>
        <v>65722074</v>
      </c>
      <c r="AM19" s="44"/>
      <c r="AN19" s="44"/>
      <c r="AO19" s="44"/>
    </row>
    <row r="20" spans="2:82">
      <c r="B20" s="24" t="s">
        <v>40</v>
      </c>
      <c r="C20" s="5" t="str">
        <f>IF(AI8=4,DEC2HEX(CODE(MID($C6,AI7+1,1)),2),"")</f>
        <v>68</v>
      </c>
      <c r="D20" s="5" t="str">
        <f t="shared" ref="D20:F20" si="37">IF(AJ8=4,DEC2HEX(CODE(MID($C6,AJ7+1,1)),2),"")</f>
        <v>65</v>
      </c>
      <c r="E20" s="5" t="str">
        <f t="shared" si="37"/>
        <v>20</v>
      </c>
      <c r="F20" s="5" t="str">
        <f t="shared" si="37"/>
        <v>6C</v>
      </c>
      <c r="J20" s="5" t="str">
        <f>IF(AI8=3,"80","")</f>
        <v/>
      </c>
      <c r="K20" s="5" t="str">
        <f t="shared" ref="K20:M20" si="38">IF(AJ8=3,"80","")</f>
        <v/>
      </c>
      <c r="L20" s="5" t="str">
        <f t="shared" si="38"/>
        <v/>
      </c>
      <c r="M20" s="5" t="str">
        <f t="shared" si="38"/>
        <v/>
      </c>
      <c r="Q20" s="5" t="str">
        <f>IF(AI8=2,DEC2HEX(0,2),"")</f>
        <v/>
      </c>
      <c r="R20" s="5" t="str">
        <f t="shared" ref="R20:T20" si="39">IF(AJ8=2,DEC2HEX(0,2),"")</f>
        <v/>
      </c>
      <c r="S20" s="5" t="str">
        <f t="shared" si="39"/>
        <v/>
      </c>
      <c r="T20" s="5" t="str">
        <f t="shared" si="39"/>
        <v/>
      </c>
      <c r="W20" s="5" t="str">
        <f>IF(AI8=1,2,"")</f>
        <v/>
      </c>
      <c r="X20" s="5" t="str">
        <f t="shared" ref="X20:Z20" si="40">IF(AJ8=1,2,"")</f>
        <v/>
      </c>
      <c r="Y20" s="5" t="str">
        <f t="shared" si="40"/>
        <v/>
      </c>
      <c r="Z20" s="5" t="str">
        <f t="shared" si="40"/>
        <v/>
      </c>
      <c r="AD20" s="49" t="s">
        <v>40</v>
      </c>
      <c r="AE20" s="49"/>
      <c r="AF20" s="49"/>
      <c r="AG20" s="16" t="str">
        <f t="shared" si="8"/>
        <v>68</v>
      </c>
      <c r="AH20" s="16" t="str">
        <f t="shared" si="9"/>
        <v>65</v>
      </c>
      <c r="AI20" s="16" t="str">
        <f t="shared" si="10"/>
        <v>20</v>
      </c>
      <c r="AJ20" s="16" t="str">
        <f t="shared" si="11"/>
        <v>6C</v>
      </c>
      <c r="AL20" s="44" t="str">
        <f t="shared" si="12"/>
        <v>6865206C</v>
      </c>
      <c r="AM20" s="44"/>
      <c r="AN20" s="44"/>
      <c r="AO20" s="44"/>
    </row>
    <row r="21" spans="2:82">
      <c r="B21" s="24" t="s">
        <v>41</v>
      </c>
      <c r="C21" s="5" t="str">
        <f>IF(AM8=4,DEC2HEX(CODE(MID($C6,AM7+1,1)),2),"")</f>
        <v>61</v>
      </c>
      <c r="D21" s="5" t="str">
        <f t="shared" ref="D21" si="41">IF(AN8=4,DEC2HEX(CODE(MID($C6,AN7+1,1)),2),"")</f>
        <v>7A</v>
      </c>
      <c r="E21" s="5" t="str">
        <f>IF(AO8=4,DEC2HEX(CODE(MID($C6,AO7+1,1)),2),"")</f>
        <v>79</v>
      </c>
      <c r="F21" s="5" t="str">
        <f>IF(AP8=4,DEC2HEX(CODE(MID($C6,AP7+1,1)),2),"")</f>
        <v>20</v>
      </c>
      <c r="J21" s="5" t="str">
        <f>IF(AM8=3,"80","")</f>
        <v/>
      </c>
      <c r="K21" s="5" t="str">
        <f t="shared" ref="K21:M21" si="42">IF(AN8=3,"80","")</f>
        <v/>
      </c>
      <c r="L21" s="5" t="str">
        <f t="shared" si="42"/>
        <v/>
      </c>
      <c r="M21" s="5" t="str">
        <f t="shared" si="42"/>
        <v/>
      </c>
      <c r="Q21" s="5" t="str">
        <f>IF(AM8=2,DEC2HEX(0,2),"")</f>
        <v/>
      </c>
      <c r="R21" s="5" t="str">
        <f t="shared" ref="R21" si="43">IF(AN8=2,DEC2HEX(0,2),"")</f>
        <v/>
      </c>
      <c r="S21" s="5" t="str">
        <f>IF(AO8=2,DEC2HEX(0,2),"")</f>
        <v/>
      </c>
      <c r="T21" s="5" t="str">
        <f>IF(AP8=2,DEC2HEX(0,2),"")</f>
        <v/>
      </c>
      <c r="W21" s="5" t="str">
        <f>IF(AM8=1,2,"")</f>
        <v/>
      </c>
      <c r="X21" s="5" t="str">
        <f t="shared" ref="X21" si="44">IF(AN8=1,2,"")</f>
        <v/>
      </c>
      <c r="Y21" s="5" t="str">
        <f>IF(AO8=1,2,"")</f>
        <v/>
      </c>
      <c r="Z21" s="5" t="str">
        <f>IF(AP8=1,2,"")</f>
        <v/>
      </c>
      <c r="AD21" s="49" t="s">
        <v>41</v>
      </c>
      <c r="AE21" s="49"/>
      <c r="AF21" s="49"/>
      <c r="AG21" s="16" t="str">
        <f t="shared" si="8"/>
        <v>61</v>
      </c>
      <c r="AH21" s="16" t="str">
        <f t="shared" si="9"/>
        <v>7A</v>
      </c>
      <c r="AI21" s="16" t="str">
        <f t="shared" si="10"/>
        <v>79</v>
      </c>
      <c r="AJ21" s="16" t="str">
        <f t="shared" si="11"/>
        <v>20</v>
      </c>
      <c r="AL21" s="44" t="str">
        <f t="shared" si="12"/>
        <v>617A7920</v>
      </c>
      <c r="AM21" s="44"/>
      <c r="AN21" s="44"/>
      <c r="AO21" s="44"/>
    </row>
    <row r="22" spans="2:82">
      <c r="B22" s="24" t="s">
        <v>42</v>
      </c>
      <c r="C22" s="5" t="str">
        <f>IF(AQ8=4,DEC2HEX(CODE(MID($C6,AQ7+1,1)),2),"")</f>
        <v>64</v>
      </c>
      <c r="D22" s="5" t="str">
        <f>IF(AR8=4,DEC2HEX(CODE(MID($C6,AR7+1,1)),2),"")</f>
        <v>6F</v>
      </c>
      <c r="E22" s="5" t="str">
        <f>IF(AS8=4,DEC2HEX(CODE(MID($C6,AS7+1,1)),2),"")</f>
        <v>67</v>
      </c>
      <c r="F22" s="5" t="str">
        <f>IF(AT8=4,DEC2HEX(CODE(MID($C6,AT7+1,1)),2),"")</f>
        <v/>
      </c>
      <c r="J22" s="5" t="str">
        <f>IF(AQ8=3,"80","")</f>
        <v/>
      </c>
      <c r="K22" s="5" t="str">
        <f t="shared" ref="K22:M22" si="45">IF(AR8=3,"80","")</f>
        <v/>
      </c>
      <c r="L22" s="5" t="str">
        <f t="shared" si="45"/>
        <v/>
      </c>
      <c r="M22" s="5" t="str">
        <f t="shared" si="45"/>
        <v>80</v>
      </c>
      <c r="Q22" s="5" t="str">
        <f>IF(AQ8=2,DEC2HEX(0,2),"")</f>
        <v/>
      </c>
      <c r="R22" s="5" t="str">
        <f>IF(AR8=2,DEC2HEX(0,2),"")</f>
        <v/>
      </c>
      <c r="S22" s="5" t="str">
        <f>IF(AS8=2,DEC2HEX(0,2),"")</f>
        <v/>
      </c>
      <c r="T22" s="5" t="str">
        <f>IF(AT8=2,DEC2HEX(0,2),"")</f>
        <v/>
      </c>
      <c r="W22" s="5" t="str">
        <f>IF(AQ8=1,2,"")</f>
        <v/>
      </c>
      <c r="X22" s="5" t="str">
        <f>IF(AR8=1,2,"")</f>
        <v/>
      </c>
      <c r="Y22" s="5" t="str">
        <f>IF(AS8=1,2,"")</f>
        <v/>
      </c>
      <c r="Z22" s="5" t="str">
        <f>IF(AT8=1,2,"")</f>
        <v/>
      </c>
      <c r="AD22" s="49" t="s">
        <v>42</v>
      </c>
      <c r="AE22" s="49"/>
      <c r="AF22" s="49"/>
      <c r="AG22" s="16" t="str">
        <f t="shared" si="8"/>
        <v>64</v>
      </c>
      <c r="AH22" s="16" t="str">
        <f t="shared" si="9"/>
        <v>6F</v>
      </c>
      <c r="AI22" s="16" t="str">
        <f t="shared" si="10"/>
        <v>67</v>
      </c>
      <c r="AJ22" s="16" t="str">
        <f t="shared" si="11"/>
        <v>80</v>
      </c>
      <c r="AL22" s="44" t="str">
        <f t="shared" si="12"/>
        <v>646F6780</v>
      </c>
      <c r="AM22" s="44"/>
      <c r="AN22" s="44"/>
      <c r="AO22" s="44"/>
    </row>
    <row r="23" spans="2:82">
      <c r="B23" s="24" t="s">
        <v>43</v>
      </c>
      <c r="C23" s="5" t="str">
        <f>IF(AU8=4,DEC2HEX(CODE(MID($C6,AU7+1,1)),2),"")</f>
        <v/>
      </c>
      <c r="D23" s="5" t="str">
        <f>IF(AV8=4,DEC2HEX(CODE(MID($C6,AV7+1,1)),2),"")</f>
        <v/>
      </c>
      <c r="E23" s="5" t="str">
        <f>IF(AW8=4,DEC2HEX(CODE(MID($C6,AW7+1,1)),2),"")</f>
        <v/>
      </c>
      <c r="F23" s="5" t="str">
        <f>IF(AX8=4,DEC2HEX(CODE(MID($C6,AX7+1,1)),2),"")</f>
        <v/>
      </c>
      <c r="J23" s="5" t="str">
        <f>IF(AU8=3,"80","")</f>
        <v/>
      </c>
      <c r="K23" s="5" t="str">
        <f t="shared" ref="K23:M23" si="46">IF(AV8=3,"80","")</f>
        <v/>
      </c>
      <c r="L23" s="5" t="str">
        <f t="shared" si="46"/>
        <v/>
      </c>
      <c r="M23" s="5" t="str">
        <f t="shared" si="46"/>
        <v/>
      </c>
      <c r="Q23" s="5" t="str">
        <f>IF(AU8=2,DEC2HEX(0,2),"")</f>
        <v>00</v>
      </c>
      <c r="R23" s="5" t="str">
        <f>IF(AV8=2,DEC2HEX(0,2),"")</f>
        <v>00</v>
      </c>
      <c r="S23" s="5" t="str">
        <f>IF(AW8=2,DEC2HEX(0,2),"")</f>
        <v>00</v>
      </c>
      <c r="T23" s="5" t="str">
        <f>IF(AX8=2,DEC2HEX(0,2),"")</f>
        <v>00</v>
      </c>
      <c r="W23" s="5" t="str">
        <f>IF(AU8=1,2,"")</f>
        <v/>
      </c>
      <c r="X23" s="5" t="str">
        <f>IF(AV8=1,2,"")</f>
        <v/>
      </c>
      <c r="Y23" s="5" t="str">
        <f>IF(AW8=1,2,"")</f>
        <v/>
      </c>
      <c r="Z23" s="5" t="str">
        <f>IF(AX8=1,2,"")</f>
        <v/>
      </c>
      <c r="AD23" s="49" t="s">
        <v>43</v>
      </c>
      <c r="AE23" s="49"/>
      <c r="AF23" s="49"/>
      <c r="AG23" s="16" t="str">
        <f t="shared" si="8"/>
        <v>00</v>
      </c>
      <c r="AH23" s="16" t="str">
        <f t="shared" si="9"/>
        <v>00</v>
      </c>
      <c r="AI23" s="16" t="str">
        <f t="shared" si="10"/>
        <v>00</v>
      </c>
      <c r="AJ23" s="16" t="str">
        <f t="shared" si="11"/>
        <v>00</v>
      </c>
      <c r="AL23" s="44" t="str">
        <f t="shared" si="12"/>
        <v>00000000</v>
      </c>
      <c r="AM23" s="44"/>
      <c r="AN23" s="44"/>
      <c r="AO23" s="44"/>
    </row>
    <row r="24" spans="2:82">
      <c r="B24" s="24" t="s">
        <v>44</v>
      </c>
      <c r="C24" s="5" t="str">
        <f>IF(AY8=4,DEC2HEX(CODE(MID($C6,AY7+1,1)),2),"")</f>
        <v/>
      </c>
      <c r="D24" s="5" t="str">
        <f>IF(AZ8=4,DEC2HEX(CODE(MID($C6,AZ7+1,1)),2),"")</f>
        <v/>
      </c>
      <c r="E24" s="5" t="str">
        <f>IF(BA8=4,DEC2HEX(CODE(MID($C6,BA7+1,1)),2),"")</f>
        <v/>
      </c>
      <c r="F24" s="5" t="str">
        <f>IF(BB8=4,DEC2HEX(CODE(MID($C6,BB7+1,1)),2),"")</f>
        <v/>
      </c>
      <c r="J24" s="5" t="str">
        <f>IF(AY8=3,"80","")</f>
        <v/>
      </c>
      <c r="K24" s="5" t="str">
        <f t="shared" ref="K24:M24" si="47">IF(AZ8=3,"80","")</f>
        <v/>
      </c>
      <c r="L24" s="5" t="str">
        <f t="shared" si="47"/>
        <v/>
      </c>
      <c r="M24" s="5" t="str">
        <f t="shared" si="47"/>
        <v/>
      </c>
      <c r="Q24" s="5" t="str">
        <f>IF(AY8=2,DEC2HEX(0,2),"")</f>
        <v>00</v>
      </c>
      <c r="R24" s="5" t="str">
        <f>IF(AZ8=2,DEC2HEX(0,2),"")</f>
        <v>00</v>
      </c>
      <c r="S24" s="5" t="str">
        <f>IF(BA8=2,DEC2HEX(0,2),"")</f>
        <v>00</v>
      </c>
      <c r="T24" s="5" t="str">
        <f>IF(BB8=2,DEC2HEX(0,2),"")</f>
        <v>00</v>
      </c>
      <c r="W24" s="5" t="str">
        <f>IF(AY8=1,2,"")</f>
        <v/>
      </c>
      <c r="X24" s="5" t="str">
        <f>IF(AZ8=1,2,"")</f>
        <v/>
      </c>
      <c r="Y24" s="5" t="str">
        <f>IF(BA8=1,2,"")</f>
        <v/>
      </c>
      <c r="Z24" s="5" t="str">
        <f>IF(BB8=1,2,"")</f>
        <v/>
      </c>
      <c r="AD24" s="49" t="s">
        <v>44</v>
      </c>
      <c r="AE24" s="49"/>
      <c r="AF24" s="49"/>
      <c r="AG24" s="16" t="str">
        <f t="shared" si="8"/>
        <v>00</v>
      </c>
      <c r="AH24" s="16" t="str">
        <f t="shared" si="9"/>
        <v>00</v>
      </c>
      <c r="AI24" s="16" t="str">
        <f t="shared" si="10"/>
        <v>00</v>
      </c>
      <c r="AJ24" s="16" t="str">
        <f t="shared" si="11"/>
        <v>00</v>
      </c>
      <c r="AL24" s="44" t="str">
        <f t="shared" si="12"/>
        <v>00000000</v>
      </c>
      <c r="AM24" s="44"/>
      <c r="AN24" s="44"/>
      <c r="AO24" s="44"/>
    </row>
    <row r="25" spans="2:82">
      <c r="B25" s="24" t="s">
        <v>45</v>
      </c>
      <c r="C25" s="5" t="str">
        <f>IF(BC8=4,DEC2HEX(CODE(MID($C6,BC7+1,1)),2),"")</f>
        <v/>
      </c>
      <c r="D25" s="5" t="str">
        <f>IF(BD8=4,DEC2HEX(CODE(MID($C6,BD7+1,1)),2),"")</f>
        <v/>
      </c>
      <c r="E25" s="5" t="str">
        <f>IF(BE8=4,DEC2HEX(CODE(MID($C6,BE7+1,1)),2),"")</f>
        <v/>
      </c>
      <c r="F25" s="5" t="str">
        <f>IF(BF8=4,DEC2HEX(CODE(MID($C6,BF7+1,1)),2),"")</f>
        <v/>
      </c>
      <c r="J25" s="5" t="str">
        <f>IF(BC8=3,"80","")</f>
        <v/>
      </c>
      <c r="K25" s="5" t="str">
        <f t="shared" ref="K25:M25" si="48">IF(BD8=3,"80","")</f>
        <v/>
      </c>
      <c r="L25" s="5" t="str">
        <f t="shared" si="48"/>
        <v/>
      </c>
      <c r="M25" s="5" t="str">
        <f t="shared" si="48"/>
        <v/>
      </c>
      <c r="Q25" s="5" t="str">
        <f>IF(BC8=2,DEC2HEX(0,2),"")</f>
        <v>00</v>
      </c>
      <c r="R25" s="5" t="str">
        <f>IF(BD8=2,DEC2HEX(0,2),"")</f>
        <v>00</v>
      </c>
      <c r="S25" s="5" t="str">
        <f>IF(BE8=2,DEC2HEX(0,2),"")</f>
        <v>00</v>
      </c>
      <c r="T25" s="5" t="str">
        <f>IF(BF8=2,DEC2HEX(0,2),"")</f>
        <v>00</v>
      </c>
      <c r="W25" s="5" t="str">
        <f>IF(BC8=1,2,"")</f>
        <v/>
      </c>
      <c r="X25" s="5" t="str">
        <f>IF(BD8=1,2,"")</f>
        <v/>
      </c>
      <c r="Y25" s="5" t="str">
        <f>IF(BE8=1,2,"")</f>
        <v/>
      </c>
      <c r="Z25" s="5" t="str">
        <f>IF(BF8=1,2,"")</f>
        <v/>
      </c>
      <c r="AD25" s="49" t="s">
        <v>45</v>
      </c>
      <c r="AE25" s="49"/>
      <c r="AF25" s="49"/>
      <c r="AG25" s="16" t="str">
        <f t="shared" si="8"/>
        <v>00</v>
      </c>
      <c r="AH25" s="16" t="str">
        <f t="shared" si="9"/>
        <v>00</v>
      </c>
      <c r="AI25" s="16" t="str">
        <f t="shared" si="10"/>
        <v>00</v>
      </c>
      <c r="AJ25" s="16" t="str">
        <f t="shared" si="11"/>
        <v>00</v>
      </c>
      <c r="AL25" s="44" t="str">
        <f t="shared" si="12"/>
        <v>00000000</v>
      </c>
      <c r="AM25" s="44"/>
      <c r="AN25" s="44"/>
      <c r="AO25" s="44"/>
      <c r="AY25" s="22" t="s">
        <v>100</v>
      </c>
    </row>
    <row r="26" spans="2:82">
      <c r="B26" s="24" t="s">
        <v>46</v>
      </c>
      <c r="C26" s="5" t="str">
        <f>IF(BG8=4,DEC2HEX(CODE(MID($C6,BG7+1,1)),2),"")</f>
        <v/>
      </c>
      <c r="D26" s="5" t="str">
        <f>IF(BH8=4,DEC2HEX(CODE(MID($C6,BH7+1,1)),2),"")</f>
        <v/>
      </c>
      <c r="E26" s="5" t="str">
        <f>IF(BI8=4,DEC2HEX(CODE(MID($C6,BI7+1,1)),2),"")</f>
        <v/>
      </c>
      <c r="F26" s="5" t="str">
        <f>IF(BJ8=4,DEC2HEX(CODE(MID($C6,BJ7+1,1)),2),"")</f>
        <v/>
      </c>
      <c r="J26" s="5" t="str">
        <f>IF(BG8=3,"80","")</f>
        <v/>
      </c>
      <c r="K26" s="5" t="str">
        <f t="shared" ref="K26:M26" si="49">IF(BH8=3,"80","")</f>
        <v/>
      </c>
      <c r="L26" s="5" t="str">
        <f t="shared" si="49"/>
        <v/>
      </c>
      <c r="M26" s="5" t="str">
        <f t="shared" si="49"/>
        <v/>
      </c>
      <c r="Q26" s="5" t="str">
        <f>IF(BG8=2,DEC2HEX(0,2),"")</f>
        <v/>
      </c>
      <c r="R26" s="5" t="str">
        <f>IF(BH8=2,DEC2HEX(0,2),"")</f>
        <v/>
      </c>
      <c r="S26" s="5" t="str">
        <f>IF(BI8=2,DEC2HEX(0,2),"")</f>
        <v/>
      </c>
      <c r="T26" s="5" t="str">
        <f>IF(BJ8=2,DEC2HEX(0,2),"")</f>
        <v/>
      </c>
      <c r="W26" s="5" t="str">
        <f>IF(BG8=1,MID(BG9,1,2),"")</f>
        <v>00</v>
      </c>
      <c r="X26" s="5" t="str">
        <f>IF(BG8=1,MID(BG9,3,2),"")</f>
        <v>00</v>
      </c>
      <c r="Y26" s="5" t="str">
        <f>IF(BG8=1,MID(BG9,5,2),"")</f>
        <v>00</v>
      </c>
      <c r="Z26" s="5" t="str">
        <f>IF(BG8=1,MID(BG9,7,2),"")</f>
        <v>00</v>
      </c>
      <c r="AD26" s="49" t="s">
        <v>46</v>
      </c>
      <c r="AE26" s="49"/>
      <c r="AF26" s="49"/>
      <c r="AG26" s="16" t="str">
        <f t="shared" si="8"/>
        <v>00</v>
      </c>
      <c r="AH26" s="16" t="str">
        <f t="shared" si="9"/>
        <v>00</v>
      </c>
      <c r="AI26" s="16" t="str">
        <f t="shared" si="10"/>
        <v>00</v>
      </c>
      <c r="AJ26" s="16" t="str">
        <f t="shared" si="11"/>
        <v>00</v>
      </c>
      <c r="AL26" s="44" t="str">
        <f t="shared" si="12"/>
        <v>00000000</v>
      </c>
      <c r="AM26" s="44"/>
      <c r="AN26" s="44"/>
      <c r="AO26" s="44"/>
      <c r="AY26" s="22" t="s">
        <v>99</v>
      </c>
    </row>
    <row r="27" spans="2:82">
      <c r="B27" s="24" t="s">
        <v>47</v>
      </c>
      <c r="C27" s="5" t="str">
        <f>IF(BK8=4,DEC2HEX(CODE(MID($C6,BK7+1,1)),2),"")</f>
        <v/>
      </c>
      <c r="D27" s="5" t="str">
        <f>IF(BL8=4,DEC2HEX(CODE(MID($C6,BL7+1,1)),2),"")</f>
        <v/>
      </c>
      <c r="E27" s="5" t="str">
        <f>IF(BM8=4,DEC2HEX(CODE(MID($C6,BM7+1,1)),2),"")</f>
        <v/>
      </c>
      <c r="F27" s="5" t="str">
        <f>IF(BN8=4,DEC2HEX(CODE(MID($C6,BN7+1,1)),2),"")</f>
        <v/>
      </c>
      <c r="J27" s="5" t="str">
        <f>IF(BK8=3,"80","")</f>
        <v/>
      </c>
      <c r="K27" s="5" t="str">
        <f t="shared" ref="K27:M27" si="50">IF(BL8=3,"80","")</f>
        <v/>
      </c>
      <c r="L27" s="5" t="str">
        <f t="shared" si="50"/>
        <v/>
      </c>
      <c r="M27" s="5" t="str">
        <f t="shared" si="50"/>
        <v/>
      </c>
      <c r="Q27" s="5" t="str">
        <f>IF(BK8=2,DEC2HEX(0,2),"")</f>
        <v/>
      </c>
      <c r="R27" s="5" t="str">
        <f>IF(BL8=2,DEC2HEX(0,2),"")</f>
        <v/>
      </c>
      <c r="S27" s="5" t="str">
        <f>IF(BM8=2,DEC2HEX(0,2),"")</f>
        <v/>
      </c>
      <c r="T27" s="5" t="str">
        <f>IF(BN8=2,DEC2HEX(0,2),"")</f>
        <v/>
      </c>
      <c r="W27" s="5" t="str">
        <f>IF(BG8=1,MID(BG9,9,2),"")</f>
        <v>00</v>
      </c>
      <c r="X27" s="5" t="str">
        <f>IF(BG8=1,MID(BG9,11,2),"")</f>
        <v>00</v>
      </c>
      <c r="Y27" s="5" t="str">
        <f>IF(BG8=1,MID(BG9,13,2),"")</f>
        <v>01</v>
      </c>
      <c r="Z27" s="5" t="str">
        <f>IF(BG8=1,MID(BG9,15,2),"")</f>
        <v>58</v>
      </c>
      <c r="AD27" s="49" t="s">
        <v>47</v>
      </c>
      <c r="AE27" s="49"/>
      <c r="AF27" s="49"/>
      <c r="AG27" s="16" t="str">
        <f t="shared" si="8"/>
        <v>00</v>
      </c>
      <c r="AH27" s="16" t="str">
        <f t="shared" si="9"/>
        <v>00</v>
      </c>
      <c r="AI27" s="16" t="str">
        <f t="shared" si="10"/>
        <v>01</v>
      </c>
      <c r="AJ27" s="16" t="str">
        <f t="shared" si="11"/>
        <v>58</v>
      </c>
      <c r="AL27" s="44" t="str">
        <f t="shared" si="12"/>
        <v>00000158</v>
      </c>
      <c r="AM27" s="44"/>
      <c r="AN27" s="44"/>
      <c r="AO27" s="44"/>
      <c r="AU27" s="30"/>
      <c r="AV27" s="30"/>
      <c r="AW27" s="30"/>
      <c r="AX27" s="30"/>
      <c r="AY27" s="59" t="s">
        <v>101</v>
      </c>
      <c r="AZ27" s="59"/>
      <c r="BA27" s="59"/>
      <c r="BB27" s="59"/>
      <c r="BC27" s="59" t="s">
        <v>106</v>
      </c>
      <c r="BD27" s="59"/>
      <c r="BE27" s="59"/>
      <c r="BF27" s="59"/>
      <c r="BG27" s="59" t="s">
        <v>107</v>
      </c>
      <c r="BH27" s="59"/>
      <c r="BI27" s="59"/>
      <c r="BJ27" s="59"/>
      <c r="BK27" s="59" t="s">
        <v>108</v>
      </c>
      <c r="BL27" s="59"/>
      <c r="BM27" s="59"/>
      <c r="BN27" s="59"/>
      <c r="BO27" s="59" t="s">
        <v>109</v>
      </c>
      <c r="BP27" s="59"/>
      <c r="BQ27" s="59"/>
      <c r="BR27" s="59"/>
      <c r="BS27" s="59" t="s">
        <v>110</v>
      </c>
      <c r="BT27" s="59"/>
      <c r="BU27" s="59"/>
      <c r="BV27" s="59"/>
      <c r="BW27" s="59" t="s">
        <v>111</v>
      </c>
      <c r="BX27" s="59"/>
      <c r="BY27" s="59"/>
      <c r="BZ27" s="59"/>
      <c r="CA27" s="59" t="s">
        <v>112</v>
      </c>
      <c r="CB27" s="59"/>
      <c r="CC27" s="59"/>
      <c r="CD27" s="59"/>
    </row>
    <row r="28" spans="2:82">
      <c r="B28" s="3" t="s">
        <v>98</v>
      </c>
      <c r="C28" s="46" t="str">
        <f>CONCATENATE(AG26,AH26,AI26,AJ26)</f>
        <v>00000000</v>
      </c>
      <c r="D28" s="47"/>
      <c r="E28" s="47"/>
      <c r="F28" s="48"/>
      <c r="G28" s="23"/>
      <c r="H28" s="52" t="s">
        <v>103</v>
      </c>
      <c r="I28" s="51"/>
      <c r="J28" s="46" t="str">
        <f>CONCATENATE(AG21,AH21,AI21,AJ21)</f>
        <v>617A7920</v>
      </c>
      <c r="K28" s="47"/>
      <c r="L28" s="47"/>
      <c r="M28" s="48"/>
      <c r="N28" s="23"/>
      <c r="O28" s="52" t="s">
        <v>105</v>
      </c>
      <c r="P28" s="51"/>
      <c r="Q28" s="46" t="str">
        <f>CONCATENATE(AG13,AH13,AI13,AJ13)</f>
        <v>71756963</v>
      </c>
      <c r="R28" s="47"/>
      <c r="S28" s="47"/>
      <c r="T28" s="48"/>
      <c r="U28" s="50" t="s">
        <v>97</v>
      </c>
      <c r="V28" s="51"/>
      <c r="W28" s="46" t="str">
        <f>CONCATENATE(AG12,AH12,AI12,AJ12)</f>
        <v>54686520</v>
      </c>
      <c r="X28" s="47"/>
      <c r="Y28" s="47"/>
      <c r="Z28" s="48"/>
      <c r="AD28" s="49" t="s">
        <v>48</v>
      </c>
      <c r="AE28" s="49"/>
      <c r="AF28" s="49"/>
      <c r="AG28" s="16" t="str">
        <f>MID($AU28,1,2)</f>
        <v>48</v>
      </c>
      <c r="AH28" s="16" t="str">
        <f>MID($AU28,3,2)</f>
        <v>77</v>
      </c>
      <c r="AI28" s="16" t="str">
        <f>MID($AU28,5,2)</f>
        <v>79</v>
      </c>
      <c r="AJ28" s="16" t="str">
        <f>MID($AU28,7,2)</f>
        <v>E3</v>
      </c>
      <c r="AL28" s="44" t="str">
        <f t="shared" si="12"/>
        <v>487779E3</v>
      </c>
      <c r="AM28" s="44"/>
      <c r="AN28" s="44"/>
      <c r="AO28" s="44"/>
      <c r="AP28" s="21" t="s">
        <v>249</v>
      </c>
      <c r="AU28" s="45" t="str">
        <f>REPT("0",8-LEN(DEC2HEX(_xlfn.BITAND(AY28+HEX2DEC(J28)+BC28+HEX2DEC(W28),HEX2DEC("FFFFFFFF")))))&amp;DEC2HEX(_xlfn.BITAND(AY28+HEX2DEC(J28)+BC28+HEX2DEC(W28),HEX2DEC("FFFFFFFF")))</f>
        <v>487779E3</v>
      </c>
      <c r="AV28" s="45"/>
      <c r="AW28" s="45"/>
      <c r="AX28" s="45"/>
      <c r="AY28" s="45">
        <f>_xlfn.BITXOR(_xlfn.BITXOR(BG28,BK28),BO28)</f>
        <v>0</v>
      </c>
      <c r="AZ28" s="45"/>
      <c r="BA28" s="45"/>
      <c r="BB28" s="45"/>
      <c r="BC28" s="45">
        <f>_xlfn.BITXOR(_xlfn.BITXOR(BS28,BW28),CA28)</f>
        <v>2459212707</v>
      </c>
      <c r="BD28" s="45"/>
      <c r="BE28" s="45"/>
      <c r="BF28" s="45"/>
      <c r="BG28" s="45">
        <f>_xlfn.BITRSHIFT(HEX2DEC(C28),17)+_xlfn.BITLSHIFT(_xlfn.BITAND(HEX2DEC(C28),HEX2DEC("0001FFFF")),32-17)</f>
        <v>0</v>
      </c>
      <c r="BH28" s="45"/>
      <c r="BI28" s="45"/>
      <c r="BJ28" s="45"/>
      <c r="BK28" s="45">
        <f t="shared" ref="BK28:BK75" si="51">_xlfn.BITRSHIFT(HEX2DEC(C28),19)+_xlfn.BITLSHIFT(_xlfn.BITAND(HEX2DEC(C28),HEX2DEC("0007FFFF")),32-19)</f>
        <v>0</v>
      </c>
      <c r="BL28" s="45"/>
      <c r="BM28" s="45"/>
      <c r="BN28" s="45"/>
      <c r="BO28" s="45">
        <f t="shared" ref="BO28:BO75" si="52">_xlfn.BITRSHIFT(HEX2DEC(C28),10)</f>
        <v>0</v>
      </c>
      <c r="BP28" s="45"/>
      <c r="BQ28" s="45"/>
      <c r="BR28" s="45"/>
      <c r="BS28" s="45">
        <f t="shared" ref="BS28:BS75" si="53">_xlfn.BITRSHIFT(HEX2DEC(Q28),7)+_xlfn.BITLSHIFT(_xlfn.BITAND(HEX2DEC(Q28),HEX2DEC("0000007F")),32-7)</f>
        <v>3336760018</v>
      </c>
      <c r="BT28" s="45"/>
      <c r="BU28" s="45"/>
      <c r="BV28" s="45"/>
      <c r="BW28" s="56">
        <f>_xlfn.BITRSHIFT(HEX2DEC(Q28),18)+_xlfn.BITLSHIFT(_xlfn.BITAND(HEX2DEC(Q28),HEX2DEC("0003FFFF")),32-18)</f>
        <v>1515773021</v>
      </c>
      <c r="BX28" s="57"/>
      <c r="BY28" s="57"/>
      <c r="BZ28" s="58"/>
      <c r="CA28" s="45">
        <f t="shared" ref="CA28:CA75" si="54">_xlfn.BITRSHIFT(HEX2DEC(Q28),3)</f>
        <v>237940012</v>
      </c>
      <c r="CB28" s="45"/>
      <c r="CC28" s="45"/>
      <c r="CD28" s="45"/>
    </row>
    <row r="29" spans="2:82">
      <c r="B29" s="3" t="s">
        <v>98</v>
      </c>
      <c r="C29" s="46" t="str">
        <f>CONCATENATE(AG27,AH27,AI27,AJ27)</f>
        <v>00000158</v>
      </c>
      <c r="D29" s="47"/>
      <c r="E29" s="47"/>
      <c r="F29" s="48"/>
      <c r="H29" s="52" t="s">
        <v>103</v>
      </c>
      <c r="I29" s="51"/>
      <c r="J29" s="46" t="str">
        <f>CONCATENATE(AG22,AH22,AI22,AJ22)</f>
        <v>646F6780</v>
      </c>
      <c r="K29" s="47"/>
      <c r="L29" s="47"/>
      <c r="M29" s="48"/>
      <c r="O29" s="52" t="s">
        <v>105</v>
      </c>
      <c r="P29" s="51"/>
      <c r="Q29" s="46" t="str">
        <f>CONCATENATE(AG14,AH14,AI14,AJ14)</f>
        <v>6B206272</v>
      </c>
      <c r="R29" s="47"/>
      <c r="S29" s="47"/>
      <c r="T29" s="48"/>
      <c r="U29" s="50" t="s">
        <v>97</v>
      </c>
      <c r="V29" s="51"/>
      <c r="W29" s="46" t="str">
        <f>CONCATENATE(AG13,AH13,AI13,AJ13)</f>
        <v>71756963</v>
      </c>
      <c r="X29" s="47"/>
      <c r="Y29" s="47"/>
      <c r="Z29" s="48"/>
      <c r="AD29" s="49" t="s">
        <v>49</v>
      </c>
      <c r="AE29" s="49"/>
      <c r="AF29" s="49"/>
      <c r="AG29" s="16" t="str">
        <f>MID($AU29,1,2)</f>
        <v>C7</v>
      </c>
      <c r="AH29" s="16" t="str">
        <f t="shared" ref="AH29:AH75" si="55">MID($AU29,3,2)</f>
        <v>9A</v>
      </c>
      <c r="AI29" s="16" t="str">
        <f t="shared" ref="AI29:AI75" si="56">MID($AU29,5,2)</f>
        <v>A7</v>
      </c>
      <c r="AJ29" s="16" t="str">
        <f t="shared" ref="AJ29:AJ75" si="57">MID($AU29,7,2)</f>
        <v>25</v>
      </c>
      <c r="AL29" s="44" t="str">
        <f t="shared" si="12"/>
        <v>C79AA725</v>
      </c>
      <c r="AM29" s="44"/>
      <c r="AN29" s="44"/>
      <c r="AO29" s="44"/>
      <c r="AP29" s="4" t="s">
        <v>250</v>
      </c>
      <c r="AU29" s="45" t="str">
        <f t="shared" ref="AU29:AU75" si="58">REPT("0",8-LEN(DEC2HEX(_xlfn.BITAND(AY29+HEX2DEC(J29)+BC29+HEX2DEC(W29),HEX2DEC("FFFFFFFF")))))&amp;DEC2HEX(_xlfn.BITAND(AY29+HEX2DEC(J29)+BC29+HEX2DEC(W29),HEX2DEC("FFFFFFFF")))</f>
        <v>C79AA725</v>
      </c>
      <c r="AV29" s="45"/>
      <c r="AW29" s="45"/>
      <c r="AX29" s="45"/>
      <c r="AY29" s="45">
        <f t="shared" ref="AY29:AY75" si="59">_xlfn.BITXOR(_xlfn.BITXOR(BG29,BK29),BO29)</f>
        <v>8847360</v>
      </c>
      <c r="AZ29" s="45"/>
      <c r="BA29" s="45"/>
      <c r="BB29" s="45"/>
      <c r="BC29" s="45">
        <f t="shared" ref="BC29:BC75" si="60">_xlfn.BITXOR(_xlfn.BITXOR(BS29,BW29),CA29)</f>
        <v>4046378562</v>
      </c>
      <c r="BD29" s="45"/>
      <c r="BE29" s="45"/>
      <c r="BF29" s="45"/>
      <c r="BG29" s="45">
        <f t="shared" ref="BG29:BG75" si="61">_xlfn.BITRSHIFT(HEX2DEC(C29),17)+_xlfn.BITLSHIFT(_xlfn.BITAND(HEX2DEC(C29),HEX2DEC("0001FFFF")),32-17)</f>
        <v>11272192</v>
      </c>
      <c r="BH29" s="45"/>
      <c r="BI29" s="45"/>
      <c r="BJ29" s="45"/>
      <c r="BK29" s="45">
        <f t="shared" si="51"/>
        <v>2818048</v>
      </c>
      <c r="BL29" s="45"/>
      <c r="BM29" s="45"/>
      <c r="BN29" s="45"/>
      <c r="BO29" s="45">
        <f t="shared" si="52"/>
        <v>0</v>
      </c>
      <c r="BP29" s="45"/>
      <c r="BQ29" s="45"/>
      <c r="BR29" s="45"/>
      <c r="BS29" s="45">
        <f t="shared" si="53"/>
        <v>3839246532</v>
      </c>
      <c r="BT29" s="45"/>
      <c r="BU29" s="45"/>
      <c r="BV29" s="45"/>
      <c r="BW29" s="56">
        <f t="shared" ref="BW29:BW75" si="62">_xlfn.BITRSHIFT(HEX2DEC(Q29),18)+_xlfn.BITLSHIFT(_xlfn.BITAND(HEX2DEC(Q29),HEX2DEC("0003FFFF")),32-18)</f>
        <v>412916424</v>
      </c>
      <c r="BX29" s="57"/>
      <c r="BY29" s="57"/>
      <c r="BZ29" s="58"/>
      <c r="CA29" s="45">
        <f t="shared" si="54"/>
        <v>224660558</v>
      </c>
      <c r="CB29" s="45"/>
      <c r="CC29" s="45"/>
      <c r="CD29" s="45"/>
    </row>
    <row r="30" spans="2:82">
      <c r="B30" s="3" t="s">
        <v>114</v>
      </c>
      <c r="C30" s="46" t="str">
        <f>CONCATENATE(AG28,AH28,AI28,AJ28)</f>
        <v>487779E3</v>
      </c>
      <c r="D30" s="47"/>
      <c r="E30" s="47"/>
      <c r="F30" s="48"/>
      <c r="H30" s="52" t="s">
        <v>102</v>
      </c>
      <c r="I30" s="51"/>
      <c r="J30" s="46" t="str">
        <f t="shared" ref="J29:J75" si="63">CONCATENATE(AG23,AH23,AI23,AJ23)</f>
        <v>00000000</v>
      </c>
      <c r="K30" s="47"/>
      <c r="L30" s="47"/>
      <c r="M30" s="48"/>
      <c r="O30" s="52" t="s">
        <v>104</v>
      </c>
      <c r="P30" s="51"/>
      <c r="Q30" s="46" t="str">
        <f t="shared" ref="Q29:Q75" si="64">CONCATENATE(AG15,AH15,AI15,AJ15)</f>
        <v>6F776E20</v>
      </c>
      <c r="R30" s="47"/>
      <c r="S30" s="47"/>
      <c r="T30" s="48"/>
      <c r="U30" s="50" t="s">
        <v>113</v>
      </c>
      <c r="V30" s="51"/>
      <c r="W30" s="46" t="str">
        <f t="shared" ref="W29:W75" si="65">CONCATENATE(AG14,AH14,AI14,AJ14)</f>
        <v>6B206272</v>
      </c>
      <c r="X30" s="47"/>
      <c r="Y30" s="47"/>
      <c r="Z30" s="48"/>
      <c r="AD30" s="49" t="s">
        <v>50</v>
      </c>
      <c r="AE30" s="49"/>
      <c r="AF30" s="49"/>
      <c r="AG30" s="16" t="str">
        <f t="shared" ref="AG30:AG75" si="66">MID($AU30,1,2)</f>
        <v>55</v>
      </c>
      <c r="AH30" s="16" t="str">
        <f t="shared" si="55"/>
        <v>B8</v>
      </c>
      <c r="AI30" s="16" t="str">
        <f t="shared" si="56"/>
        <v>4C</v>
      </c>
      <c r="AJ30" s="16" t="str">
        <f t="shared" si="57"/>
        <v>22</v>
      </c>
      <c r="AL30" s="44" t="str">
        <f t="shared" si="12"/>
        <v>55B84C22</v>
      </c>
      <c r="AM30" s="44"/>
      <c r="AN30" s="44"/>
      <c r="AO30" s="44"/>
      <c r="AU30" s="45" t="str">
        <f t="shared" si="58"/>
        <v>55B84C22</v>
      </c>
      <c r="AV30" s="45"/>
      <c r="AW30" s="45"/>
      <c r="AX30" s="45"/>
      <c r="AY30" s="45">
        <f t="shared" si="59"/>
        <v>1407176939</v>
      </c>
      <c r="AZ30" s="45"/>
      <c r="BA30" s="45"/>
      <c r="BB30" s="45"/>
      <c r="BC30" s="45">
        <f t="shared" si="60"/>
        <v>2528647365</v>
      </c>
      <c r="BD30" s="45"/>
      <c r="BE30" s="45"/>
      <c r="BF30" s="45"/>
      <c r="BG30" s="45">
        <f t="shared" si="61"/>
        <v>3169952827</v>
      </c>
      <c r="BH30" s="45"/>
      <c r="BI30" s="45"/>
      <c r="BJ30" s="45"/>
      <c r="BK30" s="45">
        <f t="shared" si="51"/>
        <v>4013713678</v>
      </c>
      <c r="BL30" s="45"/>
      <c r="BM30" s="45"/>
      <c r="BN30" s="45"/>
      <c r="BO30" s="45">
        <f t="shared" si="52"/>
        <v>1187294</v>
      </c>
      <c r="BP30" s="45"/>
      <c r="BQ30" s="45"/>
      <c r="BR30" s="45"/>
      <c r="BS30" s="45">
        <f t="shared" si="53"/>
        <v>1088351964</v>
      </c>
      <c r="BT30" s="45"/>
      <c r="BU30" s="45"/>
      <c r="BV30" s="45"/>
      <c r="BW30" s="56">
        <f t="shared" si="62"/>
        <v>3683130333</v>
      </c>
      <c r="BX30" s="57"/>
      <c r="BY30" s="57"/>
      <c r="BZ30" s="58"/>
      <c r="CA30" s="45">
        <f t="shared" si="54"/>
        <v>233762244</v>
      </c>
      <c r="CB30" s="45"/>
      <c r="CC30" s="45"/>
      <c r="CD30" s="45"/>
    </row>
    <row r="31" spans="2:82">
      <c r="B31" s="3" t="s">
        <v>114</v>
      </c>
      <c r="C31" s="46" t="str">
        <f>CONCATENATE(AG29,AH29,AI29,AJ29)</f>
        <v>C79AA725</v>
      </c>
      <c r="D31" s="47"/>
      <c r="E31" s="47"/>
      <c r="F31" s="48"/>
      <c r="H31" s="52" t="s">
        <v>102</v>
      </c>
      <c r="I31" s="51"/>
      <c r="J31" s="46" t="str">
        <f t="shared" si="63"/>
        <v>00000000</v>
      </c>
      <c r="K31" s="47"/>
      <c r="L31" s="47"/>
      <c r="M31" s="48"/>
      <c r="O31" s="52" t="s">
        <v>104</v>
      </c>
      <c r="P31" s="51"/>
      <c r="Q31" s="46" t="str">
        <f t="shared" si="64"/>
        <v>666F7820</v>
      </c>
      <c r="R31" s="47"/>
      <c r="S31" s="47"/>
      <c r="T31" s="48"/>
      <c r="U31" s="50" t="s">
        <v>113</v>
      </c>
      <c r="V31" s="51"/>
      <c r="W31" s="46" t="str">
        <f t="shared" si="65"/>
        <v>6F776E20</v>
      </c>
      <c r="X31" s="47"/>
      <c r="Y31" s="47"/>
      <c r="Z31" s="48"/>
      <c r="AD31" s="49" t="s">
        <v>51</v>
      </c>
      <c r="AE31" s="49"/>
      <c r="AF31" s="49"/>
      <c r="AG31" s="16" t="str">
        <f t="shared" si="66"/>
        <v>08</v>
      </c>
      <c r="AH31" s="16" t="str">
        <f t="shared" si="55"/>
        <v>C8</v>
      </c>
      <c r="AI31" s="16" t="str">
        <f t="shared" si="56"/>
        <v>54</v>
      </c>
      <c r="AJ31" s="16" t="str">
        <f t="shared" si="57"/>
        <v>26</v>
      </c>
      <c r="AL31" s="44" t="str">
        <f t="shared" si="12"/>
        <v>08C85426</v>
      </c>
      <c r="AM31" s="44"/>
      <c r="AN31" s="44"/>
      <c r="AO31" s="44"/>
      <c r="AU31" s="45" t="str">
        <f t="shared" si="58"/>
        <v>08C85426</v>
      </c>
      <c r="AV31" s="45"/>
      <c r="AW31" s="45"/>
      <c r="AX31" s="45"/>
      <c r="AY31" s="45">
        <f t="shared" si="59"/>
        <v>122142103</v>
      </c>
      <c r="AZ31" s="45"/>
      <c r="BA31" s="45"/>
      <c r="BB31" s="45"/>
      <c r="BC31" s="45">
        <f t="shared" si="60"/>
        <v>2450073711</v>
      </c>
      <c r="BD31" s="45"/>
      <c r="BE31" s="45"/>
      <c r="BF31" s="45"/>
      <c r="BG31" s="45">
        <f t="shared" si="61"/>
        <v>1402135501</v>
      </c>
      <c r="BH31" s="45"/>
      <c r="BI31" s="45"/>
      <c r="BJ31" s="45"/>
      <c r="BK31" s="45">
        <f t="shared" si="51"/>
        <v>1424275699</v>
      </c>
      <c r="BL31" s="45"/>
      <c r="BM31" s="45"/>
      <c r="BN31" s="45"/>
      <c r="BO31" s="45">
        <f t="shared" si="52"/>
        <v>3270313</v>
      </c>
      <c r="BP31" s="45"/>
      <c r="BQ31" s="45"/>
      <c r="BR31" s="45"/>
      <c r="BS31" s="45">
        <f t="shared" si="53"/>
        <v>1087168240</v>
      </c>
      <c r="BT31" s="45"/>
      <c r="BU31" s="45"/>
      <c r="BV31" s="45"/>
      <c r="BW31" s="56">
        <f t="shared" si="62"/>
        <v>3725072795</v>
      </c>
      <c r="BX31" s="57"/>
      <c r="BY31" s="57"/>
      <c r="BZ31" s="58"/>
      <c r="CA31" s="45">
        <f t="shared" si="54"/>
        <v>214822660</v>
      </c>
      <c r="CB31" s="45"/>
      <c r="CC31" s="45"/>
      <c r="CD31" s="45"/>
    </row>
    <row r="32" spans="2:82">
      <c r="B32" s="3" t="s">
        <v>114</v>
      </c>
      <c r="C32" s="46" t="str">
        <f t="shared" ref="C29:C75" si="67">CONCATENATE(AG30,AH30,AI30,AJ30)</f>
        <v>55B84C22</v>
      </c>
      <c r="D32" s="47"/>
      <c r="E32" s="47"/>
      <c r="F32" s="48"/>
      <c r="H32" s="52" t="s">
        <v>102</v>
      </c>
      <c r="I32" s="51"/>
      <c r="J32" s="46" t="str">
        <f t="shared" si="63"/>
        <v>00000000</v>
      </c>
      <c r="K32" s="47"/>
      <c r="L32" s="47"/>
      <c r="M32" s="48"/>
      <c r="O32" s="52" t="s">
        <v>104</v>
      </c>
      <c r="P32" s="51"/>
      <c r="Q32" s="46" t="str">
        <f t="shared" si="64"/>
        <v>6A756D70</v>
      </c>
      <c r="R32" s="47"/>
      <c r="S32" s="47"/>
      <c r="T32" s="48"/>
      <c r="U32" s="50" t="s">
        <v>113</v>
      </c>
      <c r="V32" s="51"/>
      <c r="W32" s="46" t="str">
        <f t="shared" si="65"/>
        <v>666F7820</v>
      </c>
      <c r="X32" s="47"/>
      <c r="Y32" s="47"/>
      <c r="Z32" s="48"/>
      <c r="AD32" s="49" t="s">
        <v>52</v>
      </c>
      <c r="AE32" s="49"/>
      <c r="AF32" s="49"/>
      <c r="AG32" s="16" t="str">
        <f t="shared" si="66"/>
        <v>4C</v>
      </c>
      <c r="AH32" s="16" t="str">
        <f t="shared" si="55"/>
        <v>B5</v>
      </c>
      <c r="AI32" s="16" t="str">
        <f t="shared" si="56"/>
        <v>E4</v>
      </c>
      <c r="AJ32" s="16" t="str">
        <f t="shared" si="57"/>
        <v>81</v>
      </c>
      <c r="AL32" s="44" t="str">
        <f t="shared" si="12"/>
        <v>4CB5E481</v>
      </c>
      <c r="AM32" s="44"/>
      <c r="AN32" s="44"/>
      <c r="AO32" s="44"/>
      <c r="AU32" s="45" t="str">
        <f t="shared" si="58"/>
        <v>4CB5E481</v>
      </c>
      <c r="AV32" s="45"/>
      <c r="AW32" s="45"/>
      <c r="AX32" s="45"/>
      <c r="AY32" s="45">
        <f t="shared" si="59"/>
        <v>796921464</v>
      </c>
      <c r="AZ32" s="45"/>
      <c r="BA32" s="45"/>
      <c r="BB32" s="45"/>
      <c r="BC32" s="45">
        <f t="shared" si="60"/>
        <v>3066453481</v>
      </c>
      <c r="BD32" s="45"/>
      <c r="BE32" s="45"/>
      <c r="BF32" s="45"/>
      <c r="BG32" s="45">
        <f t="shared" si="61"/>
        <v>638659292</v>
      </c>
      <c r="BH32" s="45"/>
      <c r="BI32" s="45"/>
      <c r="BJ32" s="45"/>
      <c r="BK32" s="45">
        <f t="shared" si="51"/>
        <v>159664823</v>
      </c>
      <c r="BL32" s="45"/>
      <c r="BM32" s="45"/>
      <c r="BN32" s="45"/>
      <c r="BO32" s="45">
        <f t="shared" si="52"/>
        <v>1404435</v>
      </c>
      <c r="BP32" s="45"/>
      <c r="BQ32" s="45"/>
      <c r="BR32" s="45"/>
      <c r="BS32" s="45">
        <f t="shared" si="53"/>
        <v>3772050138</v>
      </c>
      <c r="BT32" s="45"/>
      <c r="BU32" s="45"/>
      <c r="BV32" s="45"/>
      <c r="BW32" s="56">
        <f t="shared" si="62"/>
        <v>1532762781</v>
      </c>
      <c r="BX32" s="57"/>
      <c r="BY32" s="57"/>
      <c r="BZ32" s="58"/>
      <c r="CA32" s="45">
        <f t="shared" si="54"/>
        <v>223260078</v>
      </c>
      <c r="CB32" s="45"/>
      <c r="CC32" s="45"/>
      <c r="CD32" s="45"/>
    </row>
    <row r="33" spans="2:82">
      <c r="B33" s="3" t="s">
        <v>114</v>
      </c>
      <c r="C33" s="46" t="str">
        <f t="shared" si="67"/>
        <v>08C85426</v>
      </c>
      <c r="D33" s="47"/>
      <c r="E33" s="47"/>
      <c r="F33" s="48"/>
      <c r="H33" s="52" t="s">
        <v>102</v>
      </c>
      <c r="I33" s="51"/>
      <c r="J33" s="46" t="str">
        <f t="shared" si="63"/>
        <v>00000000</v>
      </c>
      <c r="K33" s="47"/>
      <c r="L33" s="47"/>
      <c r="M33" s="48"/>
      <c r="O33" s="52" t="s">
        <v>104</v>
      </c>
      <c r="P33" s="51"/>
      <c r="Q33" s="46" t="str">
        <f t="shared" si="64"/>
        <v>73206F76</v>
      </c>
      <c r="R33" s="47"/>
      <c r="S33" s="47"/>
      <c r="T33" s="48"/>
      <c r="U33" s="50" t="s">
        <v>113</v>
      </c>
      <c r="V33" s="51"/>
      <c r="W33" s="46" t="str">
        <f t="shared" si="65"/>
        <v>6A756D70</v>
      </c>
      <c r="X33" s="47"/>
      <c r="Y33" s="47"/>
      <c r="Z33" s="48"/>
      <c r="AD33" s="49" t="s">
        <v>53</v>
      </c>
      <c r="AE33" s="49"/>
      <c r="AF33" s="49"/>
      <c r="AG33" s="16" t="str">
        <f t="shared" si="66"/>
        <v>84</v>
      </c>
      <c r="AH33" s="16" t="str">
        <f t="shared" si="55"/>
        <v>6B</v>
      </c>
      <c r="AI33" s="16" t="str">
        <f t="shared" si="56"/>
        <v>36</v>
      </c>
      <c r="AJ33" s="16" t="str">
        <f t="shared" si="57"/>
        <v>D0</v>
      </c>
      <c r="AL33" s="44" t="str">
        <f t="shared" si="12"/>
        <v>846B36D0</v>
      </c>
      <c r="AM33" s="44"/>
      <c r="AN33" s="44"/>
      <c r="AO33" s="44"/>
      <c r="AU33" s="45" t="str">
        <f t="shared" si="58"/>
        <v>846B36D0</v>
      </c>
      <c r="AV33" s="45"/>
      <c r="AW33" s="45"/>
      <c r="AX33" s="45"/>
      <c r="AY33" s="45">
        <f t="shared" si="59"/>
        <v>546699112</v>
      </c>
      <c r="AZ33" s="45"/>
      <c r="BA33" s="45"/>
      <c r="BB33" s="45"/>
      <c r="BC33" s="45">
        <f t="shared" si="60"/>
        <v>4183806456</v>
      </c>
      <c r="BD33" s="45"/>
      <c r="BE33" s="45"/>
      <c r="BF33" s="45"/>
      <c r="BG33" s="45">
        <f t="shared" si="61"/>
        <v>705889380</v>
      </c>
      <c r="BH33" s="45"/>
      <c r="BI33" s="45"/>
      <c r="BJ33" s="45"/>
      <c r="BK33" s="45">
        <f t="shared" si="51"/>
        <v>176472345</v>
      </c>
      <c r="BL33" s="45"/>
      <c r="BM33" s="45"/>
      <c r="BN33" s="45"/>
      <c r="BO33" s="45">
        <f t="shared" si="52"/>
        <v>143893</v>
      </c>
      <c r="BP33" s="45"/>
      <c r="BQ33" s="45"/>
      <c r="BR33" s="45"/>
      <c r="BS33" s="45">
        <f t="shared" si="53"/>
        <v>3974512862</v>
      </c>
      <c r="BT33" s="45"/>
      <c r="BU33" s="45"/>
      <c r="BV33" s="45"/>
      <c r="BW33" s="56">
        <f t="shared" si="62"/>
        <v>467508424</v>
      </c>
      <c r="BX33" s="57"/>
      <c r="BY33" s="57"/>
      <c r="BZ33" s="58"/>
      <c r="CA33" s="45">
        <f t="shared" si="54"/>
        <v>241438190</v>
      </c>
      <c r="CB33" s="45"/>
      <c r="CC33" s="45"/>
      <c r="CD33" s="45"/>
    </row>
    <row r="34" spans="2:82">
      <c r="B34" s="3" t="s">
        <v>114</v>
      </c>
      <c r="C34" s="46" t="str">
        <f t="shared" si="67"/>
        <v>4CB5E481</v>
      </c>
      <c r="D34" s="47"/>
      <c r="E34" s="47"/>
      <c r="F34" s="48"/>
      <c r="H34" s="52" t="s">
        <v>102</v>
      </c>
      <c r="I34" s="51"/>
      <c r="J34" s="46" t="str">
        <f t="shared" si="63"/>
        <v>00000158</v>
      </c>
      <c r="K34" s="47"/>
      <c r="L34" s="47"/>
      <c r="M34" s="48"/>
      <c r="O34" s="52" t="s">
        <v>104</v>
      </c>
      <c r="P34" s="51"/>
      <c r="Q34" s="46" t="str">
        <f t="shared" si="64"/>
        <v>65722074</v>
      </c>
      <c r="R34" s="47"/>
      <c r="S34" s="47"/>
      <c r="T34" s="48"/>
      <c r="U34" s="50" t="s">
        <v>113</v>
      </c>
      <c r="V34" s="51"/>
      <c r="W34" s="46" t="str">
        <f t="shared" si="65"/>
        <v>73206F76</v>
      </c>
      <c r="X34" s="47"/>
      <c r="Y34" s="47"/>
      <c r="Z34" s="48"/>
      <c r="AD34" s="49" t="s">
        <v>54</v>
      </c>
      <c r="AE34" s="49"/>
      <c r="AF34" s="49"/>
      <c r="AG34" s="16" t="str">
        <f t="shared" si="66"/>
        <v>2E</v>
      </c>
      <c r="AH34" s="16" t="str">
        <f t="shared" si="55"/>
        <v>5D</v>
      </c>
      <c r="AI34" s="16" t="str">
        <f t="shared" si="56"/>
        <v>CC</v>
      </c>
      <c r="AJ34" s="16" t="str">
        <f t="shared" si="57"/>
        <v>95</v>
      </c>
      <c r="AL34" s="44" t="str">
        <f t="shared" si="12"/>
        <v>2E5DCC95</v>
      </c>
      <c r="AM34" s="44"/>
      <c r="AN34" s="44"/>
      <c r="AO34" s="44"/>
      <c r="AU34" s="45" t="str">
        <f t="shared" si="58"/>
        <v>2E5DCC95</v>
      </c>
      <c r="AV34" s="45"/>
      <c r="AW34" s="45"/>
      <c r="AX34" s="45"/>
      <c r="AY34" s="45">
        <f t="shared" si="59"/>
        <v>1321444021</v>
      </c>
      <c r="AZ34" s="45"/>
      <c r="BA34" s="45"/>
      <c r="BB34" s="45"/>
      <c r="BC34" s="45">
        <f t="shared" si="60"/>
        <v>1819916562</v>
      </c>
      <c r="BD34" s="45"/>
      <c r="BE34" s="45"/>
      <c r="BF34" s="45"/>
      <c r="BG34" s="45">
        <f t="shared" si="61"/>
        <v>4064323162</v>
      </c>
      <c r="BH34" s="45"/>
      <c r="BI34" s="45"/>
      <c r="BJ34" s="45"/>
      <c r="BK34" s="45">
        <f t="shared" si="51"/>
        <v>3163564438</v>
      </c>
      <c r="BL34" s="45"/>
      <c r="BM34" s="45"/>
      <c r="BN34" s="45"/>
      <c r="BO34" s="45">
        <f t="shared" si="52"/>
        <v>1256825</v>
      </c>
      <c r="BP34" s="45"/>
      <c r="BQ34" s="45"/>
      <c r="BR34" s="45"/>
      <c r="BS34" s="45">
        <f t="shared" si="53"/>
        <v>3905610816</v>
      </c>
      <c r="BT34" s="45"/>
      <c r="BU34" s="45"/>
      <c r="BV34" s="45"/>
      <c r="BW34" s="56">
        <f t="shared" si="62"/>
        <v>2283608412</v>
      </c>
      <c r="BX34" s="57"/>
      <c r="BY34" s="57"/>
      <c r="BZ34" s="58"/>
      <c r="CA34" s="45">
        <f t="shared" si="54"/>
        <v>212747278</v>
      </c>
      <c r="CB34" s="45"/>
      <c r="CC34" s="45"/>
      <c r="CD34" s="45"/>
    </row>
    <row r="35" spans="2:82">
      <c r="B35" s="3" t="s">
        <v>114</v>
      </c>
      <c r="C35" s="46" t="str">
        <f t="shared" si="67"/>
        <v>846B36D0</v>
      </c>
      <c r="D35" s="47"/>
      <c r="E35" s="47"/>
      <c r="F35" s="48"/>
      <c r="H35" s="52" t="s">
        <v>102</v>
      </c>
      <c r="I35" s="51"/>
      <c r="J35" s="46" t="str">
        <f t="shared" si="63"/>
        <v>487779E3</v>
      </c>
      <c r="K35" s="47"/>
      <c r="L35" s="47"/>
      <c r="M35" s="48"/>
      <c r="O35" s="52" t="s">
        <v>104</v>
      </c>
      <c r="P35" s="51"/>
      <c r="Q35" s="46" t="str">
        <f t="shared" si="64"/>
        <v>6865206C</v>
      </c>
      <c r="R35" s="47"/>
      <c r="S35" s="47"/>
      <c r="T35" s="48"/>
      <c r="U35" s="50" t="s">
        <v>113</v>
      </c>
      <c r="V35" s="51"/>
      <c r="W35" s="46" t="str">
        <f t="shared" si="65"/>
        <v>65722074</v>
      </c>
      <c r="X35" s="47"/>
      <c r="Y35" s="47"/>
      <c r="Z35" s="48"/>
      <c r="AD35" s="49" t="s">
        <v>55</v>
      </c>
      <c r="AE35" s="49"/>
      <c r="AF35" s="49"/>
      <c r="AG35" s="16" t="str">
        <f t="shared" si="66"/>
        <v>49</v>
      </c>
      <c r="AH35" s="16" t="str">
        <f t="shared" si="55"/>
        <v>44</v>
      </c>
      <c r="AI35" s="16" t="str">
        <f t="shared" si="56"/>
        <v>57</v>
      </c>
      <c r="AJ35" s="16" t="str">
        <f t="shared" si="57"/>
        <v>20</v>
      </c>
      <c r="AL35" s="44" t="str">
        <f t="shared" si="12"/>
        <v>49445720</v>
      </c>
      <c r="AM35" s="44"/>
      <c r="AN35" s="44"/>
      <c r="AO35" s="44"/>
      <c r="AU35" s="45" t="str">
        <f t="shared" si="58"/>
        <v>49445720</v>
      </c>
      <c r="AV35" s="45"/>
      <c r="AW35" s="45"/>
      <c r="AX35" s="45"/>
      <c r="AY35" s="45">
        <f t="shared" si="59"/>
        <v>4254287989</v>
      </c>
      <c r="AZ35" s="45"/>
      <c r="BA35" s="45"/>
      <c r="BB35" s="45"/>
      <c r="BC35" s="45">
        <f t="shared" si="60"/>
        <v>2647094356</v>
      </c>
      <c r="BD35" s="45"/>
      <c r="BE35" s="45"/>
      <c r="BF35" s="45"/>
      <c r="BG35" s="45">
        <f t="shared" si="61"/>
        <v>2607301173</v>
      </c>
      <c r="BH35" s="45"/>
      <c r="BI35" s="45"/>
      <c r="BJ35" s="45"/>
      <c r="BK35" s="45">
        <f t="shared" si="51"/>
        <v>1725567117</v>
      </c>
      <c r="BL35" s="45"/>
      <c r="BM35" s="45"/>
      <c r="BN35" s="45"/>
      <c r="BO35" s="45">
        <f t="shared" si="52"/>
        <v>2169549</v>
      </c>
      <c r="BP35" s="45"/>
      <c r="BQ35" s="45"/>
      <c r="BR35" s="45"/>
      <c r="BS35" s="45">
        <f t="shared" si="53"/>
        <v>3637561920</v>
      </c>
      <c r="BT35" s="45"/>
      <c r="BU35" s="45"/>
      <c r="BV35" s="45"/>
      <c r="BW35" s="56">
        <f t="shared" si="62"/>
        <v>1209735705</v>
      </c>
      <c r="BX35" s="57"/>
      <c r="BY35" s="57"/>
      <c r="BZ35" s="58"/>
      <c r="CA35" s="45">
        <f t="shared" si="54"/>
        <v>218932237</v>
      </c>
      <c r="CB35" s="45"/>
      <c r="CC35" s="45"/>
      <c r="CD35" s="45"/>
    </row>
    <row r="36" spans="2:82">
      <c r="B36" s="3" t="s">
        <v>114</v>
      </c>
      <c r="C36" s="46" t="str">
        <f t="shared" si="67"/>
        <v>2E5DCC95</v>
      </c>
      <c r="D36" s="47"/>
      <c r="E36" s="47"/>
      <c r="F36" s="48"/>
      <c r="H36" s="52" t="s">
        <v>102</v>
      </c>
      <c r="I36" s="51"/>
      <c r="J36" s="46" t="str">
        <f t="shared" si="63"/>
        <v>C79AA725</v>
      </c>
      <c r="K36" s="47"/>
      <c r="L36" s="47"/>
      <c r="M36" s="48"/>
      <c r="O36" s="52" t="s">
        <v>104</v>
      </c>
      <c r="P36" s="51"/>
      <c r="Q36" s="46" t="str">
        <f t="shared" si="64"/>
        <v>617A7920</v>
      </c>
      <c r="R36" s="47"/>
      <c r="S36" s="47"/>
      <c r="T36" s="48"/>
      <c r="U36" s="50" t="s">
        <v>113</v>
      </c>
      <c r="V36" s="51"/>
      <c r="W36" s="46" t="str">
        <f t="shared" si="65"/>
        <v>6865206C</v>
      </c>
      <c r="X36" s="47"/>
      <c r="Y36" s="47"/>
      <c r="Z36" s="48"/>
      <c r="AD36" s="49" t="s">
        <v>56</v>
      </c>
      <c r="AE36" s="49"/>
      <c r="AF36" s="49"/>
      <c r="AG36" s="16" t="str">
        <f t="shared" si="66"/>
        <v>62</v>
      </c>
      <c r="AH36" s="16" t="str">
        <f t="shared" si="55"/>
        <v>79</v>
      </c>
      <c r="AI36" s="16" t="str">
        <f t="shared" si="56"/>
        <v>10</v>
      </c>
      <c r="AJ36" s="16" t="str">
        <f t="shared" si="57"/>
        <v>AF</v>
      </c>
      <c r="AL36" s="44" t="str">
        <f t="shared" si="12"/>
        <v>627910AF</v>
      </c>
      <c r="AM36" s="44"/>
      <c r="AN36" s="44"/>
      <c r="AO36" s="44"/>
      <c r="AU36" s="45" t="str">
        <f t="shared" si="58"/>
        <v>627910AF</v>
      </c>
      <c r="AV36" s="45"/>
      <c r="AW36" s="45"/>
      <c r="AX36" s="45"/>
      <c r="AY36" s="45">
        <f t="shared" si="59"/>
        <v>1607706006</v>
      </c>
      <c r="AZ36" s="45"/>
      <c r="BA36" s="45"/>
      <c r="BB36" s="45"/>
      <c r="BC36" s="45">
        <f t="shared" si="60"/>
        <v>3534070664</v>
      </c>
      <c r="BD36" s="45"/>
      <c r="BE36" s="45"/>
      <c r="BF36" s="45"/>
      <c r="BG36" s="45">
        <f t="shared" si="61"/>
        <v>3863648046</v>
      </c>
      <c r="BH36" s="45"/>
      <c r="BI36" s="45"/>
      <c r="BJ36" s="45"/>
      <c r="BK36" s="45">
        <f t="shared" si="51"/>
        <v>3113395659</v>
      </c>
      <c r="BL36" s="45"/>
      <c r="BM36" s="45"/>
      <c r="BN36" s="45"/>
      <c r="BO36" s="45">
        <f t="shared" si="52"/>
        <v>759667</v>
      </c>
      <c r="BP36" s="45"/>
      <c r="BQ36" s="45"/>
      <c r="BR36" s="45"/>
      <c r="BS36" s="45">
        <f t="shared" si="53"/>
        <v>1086518514</v>
      </c>
      <c r="BT36" s="45"/>
      <c r="BU36" s="45"/>
      <c r="BV36" s="45"/>
      <c r="BW36" s="56">
        <f t="shared" si="62"/>
        <v>2655524958</v>
      </c>
      <c r="BX36" s="57"/>
      <c r="BY36" s="57"/>
      <c r="BZ36" s="58"/>
      <c r="CA36" s="45">
        <f t="shared" si="54"/>
        <v>204427044</v>
      </c>
      <c r="CB36" s="45"/>
      <c r="CC36" s="45"/>
      <c r="CD36" s="45"/>
    </row>
    <row r="37" spans="2:82">
      <c r="B37" s="3" t="s">
        <v>114</v>
      </c>
      <c r="C37" s="46" t="str">
        <f t="shared" si="67"/>
        <v>49445720</v>
      </c>
      <c r="D37" s="47"/>
      <c r="E37" s="47"/>
      <c r="F37" s="48"/>
      <c r="H37" s="52" t="s">
        <v>102</v>
      </c>
      <c r="I37" s="51"/>
      <c r="J37" s="46" t="str">
        <f t="shared" si="63"/>
        <v>55B84C22</v>
      </c>
      <c r="K37" s="47"/>
      <c r="L37" s="47"/>
      <c r="M37" s="48"/>
      <c r="O37" s="52" t="s">
        <v>104</v>
      </c>
      <c r="P37" s="51"/>
      <c r="Q37" s="46" t="str">
        <f t="shared" si="64"/>
        <v>646F6780</v>
      </c>
      <c r="R37" s="47"/>
      <c r="S37" s="47"/>
      <c r="T37" s="48"/>
      <c r="U37" s="50" t="s">
        <v>113</v>
      </c>
      <c r="V37" s="51"/>
      <c r="W37" s="46" t="str">
        <f t="shared" si="65"/>
        <v>617A7920</v>
      </c>
      <c r="X37" s="47"/>
      <c r="Y37" s="47"/>
      <c r="Z37" s="48"/>
      <c r="AD37" s="49" t="s">
        <v>57</v>
      </c>
      <c r="AE37" s="49"/>
      <c r="AF37" s="49"/>
      <c r="AG37" s="16" t="str">
        <f t="shared" si="66"/>
        <v>2E</v>
      </c>
      <c r="AH37" s="16" t="str">
        <f t="shared" si="55"/>
        <v>3E</v>
      </c>
      <c r="AI37" s="16" t="str">
        <f t="shared" si="56"/>
        <v>6D</v>
      </c>
      <c r="AJ37" s="16" t="str">
        <f t="shared" si="57"/>
        <v>05</v>
      </c>
      <c r="AL37" s="44" t="str">
        <f t="shared" si="12"/>
        <v>2E3E6D05</v>
      </c>
      <c r="AM37" s="44"/>
      <c r="AN37" s="44"/>
      <c r="AO37" s="44"/>
      <c r="AU37" s="45" t="str">
        <f t="shared" si="58"/>
        <v>2E3E6D05</v>
      </c>
      <c r="AV37" s="45"/>
      <c r="AW37" s="45"/>
      <c r="AX37" s="45"/>
      <c r="AY37" s="45">
        <f t="shared" si="59"/>
        <v>2707848351</v>
      </c>
      <c r="AZ37" s="45"/>
      <c r="BA37" s="45"/>
      <c r="BB37" s="45"/>
      <c r="BC37" s="45">
        <f t="shared" si="60"/>
        <v>3584371492</v>
      </c>
      <c r="BD37" s="45"/>
      <c r="BE37" s="45"/>
      <c r="BF37" s="45"/>
      <c r="BG37" s="45">
        <f t="shared" si="61"/>
        <v>730866850</v>
      </c>
      <c r="BH37" s="45"/>
      <c r="BI37" s="45"/>
      <c r="BJ37" s="45"/>
      <c r="BK37" s="45">
        <f t="shared" si="51"/>
        <v>2330200360</v>
      </c>
      <c r="BL37" s="45"/>
      <c r="BM37" s="45"/>
      <c r="BN37" s="45"/>
      <c r="BO37" s="45">
        <f t="shared" si="52"/>
        <v>1200405</v>
      </c>
      <c r="BP37" s="45"/>
      <c r="BQ37" s="45"/>
      <c r="BR37" s="45"/>
      <c r="BS37" s="45">
        <f t="shared" si="53"/>
        <v>13164239</v>
      </c>
      <c r="BT37" s="45"/>
      <c r="BU37" s="45"/>
      <c r="BV37" s="45"/>
      <c r="BW37" s="56">
        <f t="shared" si="62"/>
        <v>3655342363</v>
      </c>
      <c r="BX37" s="57"/>
      <c r="BY37" s="57"/>
      <c r="BZ37" s="58"/>
      <c r="CA37" s="45">
        <f t="shared" si="54"/>
        <v>210627824</v>
      </c>
      <c r="CB37" s="45"/>
      <c r="CC37" s="45"/>
      <c r="CD37" s="45"/>
    </row>
    <row r="38" spans="2:82">
      <c r="B38" s="3" t="s">
        <v>114</v>
      </c>
      <c r="C38" s="46" t="str">
        <f t="shared" si="67"/>
        <v>627910AF</v>
      </c>
      <c r="D38" s="47"/>
      <c r="E38" s="47"/>
      <c r="F38" s="48"/>
      <c r="H38" s="52" t="s">
        <v>102</v>
      </c>
      <c r="I38" s="51"/>
      <c r="J38" s="46" t="str">
        <f t="shared" si="63"/>
        <v>08C85426</v>
      </c>
      <c r="K38" s="47"/>
      <c r="L38" s="47"/>
      <c r="M38" s="48"/>
      <c r="O38" s="52" t="s">
        <v>104</v>
      </c>
      <c r="P38" s="51"/>
      <c r="Q38" s="46" t="str">
        <f t="shared" si="64"/>
        <v>00000000</v>
      </c>
      <c r="R38" s="47"/>
      <c r="S38" s="47"/>
      <c r="T38" s="48"/>
      <c r="U38" s="50" t="s">
        <v>113</v>
      </c>
      <c r="V38" s="51"/>
      <c r="W38" s="46" t="str">
        <f t="shared" si="65"/>
        <v>646F6780</v>
      </c>
      <c r="X38" s="47"/>
      <c r="Y38" s="47"/>
      <c r="Z38" s="48"/>
      <c r="AD38" s="49" t="s">
        <v>58</v>
      </c>
      <c r="AE38" s="49"/>
      <c r="AF38" s="49"/>
      <c r="AG38" s="16" t="str">
        <f t="shared" si="66"/>
        <v>17</v>
      </c>
      <c r="AH38" s="16" t="str">
        <f t="shared" si="55"/>
        <v>92</v>
      </c>
      <c r="AI38" s="16" t="str">
        <f t="shared" si="56"/>
        <v>7E</v>
      </c>
      <c r="AJ38" s="16" t="str">
        <f t="shared" si="57"/>
        <v>DD</v>
      </c>
      <c r="AL38" s="44" t="str">
        <f t="shared" si="12"/>
        <v>17927EDD</v>
      </c>
      <c r="AM38" s="44"/>
      <c r="AN38" s="44"/>
      <c r="AO38" s="44"/>
      <c r="AU38" s="45" t="str">
        <f t="shared" si="58"/>
        <v>17927EDD</v>
      </c>
      <c r="AV38" s="45"/>
      <c r="AW38" s="45"/>
      <c r="AX38" s="45"/>
      <c r="AY38" s="45">
        <f t="shared" si="59"/>
        <v>2858074935</v>
      </c>
      <c r="AZ38" s="45"/>
      <c r="BA38" s="45"/>
      <c r="BB38" s="45"/>
      <c r="BC38" s="45">
        <f t="shared" si="60"/>
        <v>0</v>
      </c>
      <c r="BD38" s="45"/>
      <c r="BE38" s="45"/>
      <c r="BF38" s="45"/>
      <c r="BG38" s="45">
        <f t="shared" si="61"/>
        <v>2287448380</v>
      </c>
      <c r="BH38" s="45"/>
      <c r="BI38" s="45"/>
      <c r="BJ38" s="45"/>
      <c r="BK38" s="45">
        <f t="shared" si="51"/>
        <v>571862095</v>
      </c>
      <c r="BL38" s="45"/>
      <c r="BM38" s="45"/>
      <c r="BN38" s="45"/>
      <c r="BO38" s="45">
        <f t="shared" si="52"/>
        <v>1613380</v>
      </c>
      <c r="BP38" s="45"/>
      <c r="BQ38" s="45"/>
      <c r="BR38" s="45"/>
      <c r="BS38" s="45">
        <f t="shared" si="53"/>
        <v>0</v>
      </c>
      <c r="BT38" s="45"/>
      <c r="BU38" s="45"/>
      <c r="BV38" s="45"/>
      <c r="BW38" s="56">
        <f t="shared" si="62"/>
        <v>0</v>
      </c>
      <c r="BX38" s="57"/>
      <c r="BY38" s="57"/>
      <c r="BZ38" s="58"/>
      <c r="CA38" s="45">
        <f t="shared" si="54"/>
        <v>0</v>
      </c>
      <c r="CB38" s="45"/>
      <c r="CC38" s="45"/>
      <c r="CD38" s="45"/>
    </row>
    <row r="39" spans="2:82">
      <c r="B39" s="3" t="s">
        <v>114</v>
      </c>
      <c r="C39" s="46" t="str">
        <f t="shared" si="67"/>
        <v>2E3E6D05</v>
      </c>
      <c r="D39" s="47"/>
      <c r="E39" s="47"/>
      <c r="F39" s="48"/>
      <c r="H39" s="52" t="s">
        <v>102</v>
      </c>
      <c r="I39" s="51"/>
      <c r="J39" s="46" t="str">
        <f t="shared" si="63"/>
        <v>4CB5E481</v>
      </c>
      <c r="K39" s="47"/>
      <c r="L39" s="47"/>
      <c r="M39" s="48"/>
      <c r="O39" s="52" t="s">
        <v>104</v>
      </c>
      <c r="P39" s="51"/>
      <c r="Q39" s="46" t="str">
        <f t="shared" si="64"/>
        <v>00000000</v>
      </c>
      <c r="R39" s="47"/>
      <c r="S39" s="47"/>
      <c r="T39" s="48"/>
      <c r="U39" s="50" t="s">
        <v>113</v>
      </c>
      <c r="V39" s="51"/>
      <c r="W39" s="46" t="str">
        <f t="shared" si="65"/>
        <v>00000000</v>
      </c>
      <c r="X39" s="47"/>
      <c r="Y39" s="47"/>
      <c r="Z39" s="48"/>
      <c r="AD39" s="49" t="s">
        <v>59</v>
      </c>
      <c r="AE39" s="49"/>
      <c r="AF39" s="49"/>
      <c r="AG39" s="16" t="str">
        <f t="shared" si="66"/>
        <v>47</v>
      </c>
      <c r="AH39" s="16" t="str">
        <f t="shared" si="55"/>
        <v>DF</v>
      </c>
      <c r="AI39" s="16" t="str">
        <f t="shared" si="56"/>
        <v>A1</v>
      </c>
      <c r="AJ39" s="16" t="str">
        <f t="shared" si="57"/>
        <v>C4</v>
      </c>
      <c r="AL39" s="44" t="str">
        <f t="shared" si="12"/>
        <v>47DFA1C4</v>
      </c>
      <c r="AM39" s="44"/>
      <c r="AN39" s="44"/>
      <c r="AO39" s="44"/>
      <c r="AU39" s="45" t="str">
        <f t="shared" si="58"/>
        <v>47DFA1C4</v>
      </c>
      <c r="AV39" s="45"/>
      <c r="AW39" s="45"/>
      <c r="AX39" s="45"/>
      <c r="AY39" s="45">
        <f t="shared" si="59"/>
        <v>4213816643</v>
      </c>
      <c r="AZ39" s="45"/>
      <c r="BA39" s="45"/>
      <c r="BB39" s="45"/>
      <c r="BC39" s="45">
        <f t="shared" si="60"/>
        <v>0</v>
      </c>
      <c r="BD39" s="45"/>
      <c r="BE39" s="45"/>
      <c r="BF39" s="45"/>
      <c r="BG39" s="45">
        <f t="shared" si="61"/>
        <v>914528031</v>
      </c>
      <c r="BH39" s="45"/>
      <c r="BI39" s="45"/>
      <c r="BJ39" s="45"/>
      <c r="BK39" s="45">
        <f t="shared" si="51"/>
        <v>3449857479</v>
      </c>
      <c r="BL39" s="45"/>
      <c r="BM39" s="45"/>
      <c r="BN39" s="45"/>
      <c r="BO39" s="45">
        <f t="shared" si="52"/>
        <v>757659</v>
      </c>
      <c r="BP39" s="45"/>
      <c r="BQ39" s="45"/>
      <c r="BR39" s="45"/>
      <c r="BS39" s="45">
        <f t="shared" si="53"/>
        <v>0</v>
      </c>
      <c r="BT39" s="45"/>
      <c r="BU39" s="45"/>
      <c r="BV39" s="45"/>
      <c r="BW39" s="56">
        <f t="shared" si="62"/>
        <v>0</v>
      </c>
      <c r="BX39" s="57"/>
      <c r="BY39" s="57"/>
      <c r="BZ39" s="58"/>
      <c r="CA39" s="45">
        <f t="shared" si="54"/>
        <v>0</v>
      </c>
      <c r="CB39" s="45"/>
      <c r="CC39" s="45"/>
      <c r="CD39" s="45"/>
    </row>
    <row r="40" spans="2:82">
      <c r="B40" s="3" t="s">
        <v>114</v>
      </c>
      <c r="C40" s="46" t="str">
        <f t="shared" si="67"/>
        <v>17927EDD</v>
      </c>
      <c r="D40" s="47"/>
      <c r="E40" s="47"/>
      <c r="F40" s="48"/>
      <c r="H40" s="52" t="s">
        <v>102</v>
      </c>
      <c r="I40" s="51"/>
      <c r="J40" s="46" t="str">
        <f t="shared" si="63"/>
        <v>846B36D0</v>
      </c>
      <c r="K40" s="47"/>
      <c r="L40" s="47"/>
      <c r="M40" s="48"/>
      <c r="O40" s="52" t="s">
        <v>104</v>
      </c>
      <c r="P40" s="51"/>
      <c r="Q40" s="46" t="str">
        <f t="shared" si="64"/>
        <v>00000000</v>
      </c>
      <c r="R40" s="47"/>
      <c r="S40" s="47"/>
      <c r="T40" s="48"/>
      <c r="U40" s="50" t="s">
        <v>113</v>
      </c>
      <c r="V40" s="51"/>
      <c r="W40" s="46" t="str">
        <f t="shared" si="65"/>
        <v>00000000</v>
      </c>
      <c r="X40" s="47"/>
      <c r="Y40" s="47"/>
      <c r="Z40" s="48"/>
      <c r="AD40" s="49" t="s">
        <v>60</v>
      </c>
      <c r="AE40" s="49"/>
      <c r="AF40" s="49"/>
      <c r="AG40" s="16" t="str">
        <f t="shared" si="66"/>
        <v>F5</v>
      </c>
      <c r="AH40" s="16" t="str">
        <f t="shared" si="55"/>
        <v>1C</v>
      </c>
      <c r="AI40" s="16" t="str">
        <f t="shared" si="56"/>
        <v>04</v>
      </c>
      <c r="AJ40" s="16" t="str">
        <f t="shared" si="57"/>
        <v>74</v>
      </c>
      <c r="AL40" s="44" t="str">
        <f t="shared" si="12"/>
        <v>F51C0474</v>
      </c>
      <c r="AM40" s="44"/>
      <c r="AN40" s="44"/>
      <c r="AO40" s="44"/>
      <c r="AU40" s="45" t="str">
        <f t="shared" si="58"/>
        <v>F51C0474</v>
      </c>
      <c r="AV40" s="45"/>
      <c r="AW40" s="45"/>
      <c r="AX40" s="45"/>
      <c r="AY40" s="45">
        <f t="shared" si="59"/>
        <v>1890635172</v>
      </c>
      <c r="AZ40" s="45"/>
      <c r="BA40" s="45"/>
      <c r="BB40" s="45"/>
      <c r="BC40" s="45">
        <f t="shared" si="60"/>
        <v>0</v>
      </c>
      <c r="BD40" s="45"/>
      <c r="BE40" s="45"/>
      <c r="BF40" s="45"/>
      <c r="BG40" s="45">
        <f t="shared" si="61"/>
        <v>1064209353</v>
      </c>
      <c r="BH40" s="45"/>
      <c r="BI40" s="45"/>
      <c r="BJ40" s="45"/>
      <c r="BK40" s="45">
        <f t="shared" si="51"/>
        <v>1339794162</v>
      </c>
      <c r="BL40" s="45"/>
      <c r="BM40" s="45"/>
      <c r="BN40" s="45"/>
      <c r="BO40" s="45">
        <f t="shared" si="52"/>
        <v>386207</v>
      </c>
      <c r="BP40" s="45"/>
      <c r="BQ40" s="45"/>
      <c r="BR40" s="45"/>
      <c r="BS40" s="45">
        <f t="shared" si="53"/>
        <v>0</v>
      </c>
      <c r="BT40" s="45"/>
      <c r="BU40" s="45"/>
      <c r="BV40" s="45"/>
      <c r="BW40" s="56">
        <f t="shared" si="62"/>
        <v>0</v>
      </c>
      <c r="BX40" s="57"/>
      <c r="BY40" s="57"/>
      <c r="BZ40" s="58"/>
      <c r="CA40" s="45">
        <f t="shared" si="54"/>
        <v>0</v>
      </c>
      <c r="CB40" s="45"/>
      <c r="CC40" s="45"/>
      <c r="CD40" s="45"/>
    </row>
    <row r="41" spans="2:82">
      <c r="B41" s="3" t="s">
        <v>114</v>
      </c>
      <c r="C41" s="46" t="str">
        <f t="shared" si="67"/>
        <v>47DFA1C4</v>
      </c>
      <c r="D41" s="47"/>
      <c r="E41" s="47"/>
      <c r="F41" s="48"/>
      <c r="H41" s="52" t="s">
        <v>102</v>
      </c>
      <c r="I41" s="51"/>
      <c r="J41" s="46" t="str">
        <f t="shared" si="63"/>
        <v>2E5DCC95</v>
      </c>
      <c r="K41" s="47"/>
      <c r="L41" s="47"/>
      <c r="M41" s="48"/>
      <c r="O41" s="52" t="s">
        <v>104</v>
      </c>
      <c r="P41" s="51"/>
      <c r="Q41" s="46" t="str">
        <f t="shared" si="64"/>
        <v>00000000</v>
      </c>
      <c r="R41" s="47"/>
      <c r="S41" s="47"/>
      <c r="T41" s="48"/>
      <c r="U41" s="50" t="s">
        <v>113</v>
      </c>
      <c r="V41" s="51"/>
      <c r="W41" s="46" t="str">
        <f t="shared" si="65"/>
        <v>00000000</v>
      </c>
      <c r="X41" s="47"/>
      <c r="Y41" s="47"/>
      <c r="Z41" s="48"/>
      <c r="AD41" s="49" t="s">
        <v>61</v>
      </c>
      <c r="AE41" s="49"/>
      <c r="AF41" s="49"/>
      <c r="AG41" s="16" t="str">
        <f t="shared" si="66"/>
        <v>53</v>
      </c>
      <c r="AH41" s="16" t="str">
        <f t="shared" si="55"/>
        <v>29</v>
      </c>
      <c r="AI41" s="16" t="str">
        <f t="shared" si="56"/>
        <v>29</v>
      </c>
      <c r="AJ41" s="16" t="str">
        <f t="shared" si="57"/>
        <v>91</v>
      </c>
      <c r="AL41" s="44" t="str">
        <f t="shared" si="12"/>
        <v>53292991</v>
      </c>
      <c r="AM41" s="44"/>
      <c r="AN41" s="44"/>
      <c r="AO41" s="44"/>
      <c r="AU41" s="45" t="str">
        <f t="shared" si="58"/>
        <v>53292991</v>
      </c>
      <c r="AV41" s="45"/>
      <c r="AW41" s="45"/>
      <c r="AX41" s="45"/>
      <c r="AY41" s="45">
        <f t="shared" si="59"/>
        <v>617307388</v>
      </c>
      <c r="AZ41" s="45"/>
      <c r="BA41" s="45"/>
      <c r="BB41" s="45"/>
      <c r="BC41" s="45">
        <f t="shared" si="60"/>
        <v>0</v>
      </c>
      <c r="BD41" s="45"/>
      <c r="BE41" s="45"/>
      <c r="BF41" s="45"/>
      <c r="BG41" s="45">
        <f t="shared" si="61"/>
        <v>3504481263</v>
      </c>
      <c r="BH41" s="45"/>
      <c r="BI41" s="45"/>
      <c r="BJ41" s="45"/>
      <c r="BK41" s="45">
        <f t="shared" si="51"/>
        <v>4097345787</v>
      </c>
      <c r="BL41" s="45"/>
      <c r="BM41" s="45"/>
      <c r="BN41" s="45"/>
      <c r="BO41" s="45">
        <f t="shared" si="52"/>
        <v>1177576</v>
      </c>
      <c r="BP41" s="45"/>
      <c r="BQ41" s="45"/>
      <c r="BR41" s="45"/>
      <c r="BS41" s="45">
        <f t="shared" si="53"/>
        <v>0</v>
      </c>
      <c r="BT41" s="45"/>
      <c r="BU41" s="45"/>
      <c r="BV41" s="45"/>
      <c r="BW41" s="56">
        <f t="shared" si="62"/>
        <v>0</v>
      </c>
      <c r="BX41" s="57"/>
      <c r="BY41" s="57"/>
      <c r="BZ41" s="58"/>
      <c r="CA41" s="45">
        <f t="shared" si="54"/>
        <v>0</v>
      </c>
      <c r="CB41" s="45"/>
      <c r="CC41" s="45"/>
      <c r="CD41" s="45"/>
    </row>
    <row r="42" spans="2:82">
      <c r="B42" s="3" t="s">
        <v>114</v>
      </c>
      <c r="C42" s="46" t="str">
        <f t="shared" si="67"/>
        <v>F51C0474</v>
      </c>
      <c r="D42" s="47"/>
      <c r="E42" s="47"/>
      <c r="F42" s="48"/>
      <c r="H42" s="52" t="s">
        <v>102</v>
      </c>
      <c r="I42" s="51"/>
      <c r="J42" s="46" t="str">
        <f t="shared" si="63"/>
        <v>49445720</v>
      </c>
      <c r="K42" s="47"/>
      <c r="L42" s="47"/>
      <c r="M42" s="48"/>
      <c r="O42" s="52" t="s">
        <v>104</v>
      </c>
      <c r="P42" s="51"/>
      <c r="Q42" s="46" t="str">
        <f t="shared" si="64"/>
        <v>00000158</v>
      </c>
      <c r="R42" s="47"/>
      <c r="S42" s="47"/>
      <c r="T42" s="48"/>
      <c r="U42" s="50" t="s">
        <v>113</v>
      </c>
      <c r="V42" s="51"/>
      <c r="W42" s="46" t="str">
        <f t="shared" si="65"/>
        <v>00000000</v>
      </c>
      <c r="X42" s="47"/>
      <c r="Y42" s="47"/>
      <c r="Z42" s="48"/>
      <c r="AD42" s="49" t="s">
        <v>62</v>
      </c>
      <c r="AE42" s="49"/>
      <c r="AF42" s="49"/>
      <c r="AG42" s="16" t="str">
        <f t="shared" si="66"/>
        <v>7C</v>
      </c>
      <c r="AH42" s="16" t="str">
        <f t="shared" si="55"/>
        <v>23</v>
      </c>
      <c r="AI42" s="16" t="str">
        <f t="shared" si="56"/>
        <v>FA</v>
      </c>
      <c r="AJ42" s="16" t="str">
        <f t="shared" si="57"/>
        <v>75</v>
      </c>
      <c r="AL42" s="44" t="str">
        <f t="shared" si="12"/>
        <v>7C23FA75</v>
      </c>
      <c r="AM42" s="44"/>
      <c r="AN42" s="44"/>
      <c r="AO42" s="44"/>
      <c r="AU42" s="45" t="str">
        <f t="shared" si="58"/>
        <v>7C23FA75</v>
      </c>
      <c r="AV42" s="45"/>
      <c r="AW42" s="45"/>
      <c r="AX42" s="45"/>
      <c r="AY42" s="45">
        <f t="shared" si="59"/>
        <v>2190058284</v>
      </c>
      <c r="AZ42" s="45"/>
      <c r="BA42" s="45"/>
      <c r="BB42" s="45"/>
      <c r="BC42" s="45">
        <f t="shared" si="60"/>
        <v>2958426153</v>
      </c>
      <c r="BD42" s="45"/>
      <c r="BE42" s="45"/>
      <c r="BF42" s="45"/>
      <c r="BG42" s="45">
        <f t="shared" si="61"/>
        <v>37386894</v>
      </c>
      <c r="BH42" s="45"/>
      <c r="BI42" s="45"/>
      <c r="BJ42" s="45"/>
      <c r="BK42" s="45">
        <f t="shared" si="51"/>
        <v>2156830371</v>
      </c>
      <c r="BL42" s="45"/>
      <c r="BM42" s="45"/>
      <c r="BN42" s="45"/>
      <c r="BO42" s="45">
        <f t="shared" si="52"/>
        <v>4015873</v>
      </c>
      <c r="BP42" s="45"/>
      <c r="BQ42" s="45"/>
      <c r="BR42" s="45"/>
      <c r="BS42" s="45">
        <f t="shared" si="53"/>
        <v>2952790018</v>
      </c>
      <c r="BT42" s="45"/>
      <c r="BU42" s="45"/>
      <c r="BV42" s="45"/>
      <c r="BW42" s="56">
        <f t="shared" si="62"/>
        <v>5636096</v>
      </c>
      <c r="BX42" s="57"/>
      <c r="BY42" s="57"/>
      <c r="BZ42" s="58"/>
      <c r="CA42" s="45">
        <f t="shared" si="54"/>
        <v>43</v>
      </c>
      <c r="CB42" s="45"/>
      <c r="CC42" s="45"/>
      <c r="CD42" s="45"/>
    </row>
    <row r="43" spans="2:82">
      <c r="B43" s="3" t="s">
        <v>114</v>
      </c>
      <c r="C43" s="46" t="str">
        <f t="shared" si="67"/>
        <v>53292991</v>
      </c>
      <c r="D43" s="47"/>
      <c r="E43" s="47"/>
      <c r="F43" s="48"/>
      <c r="H43" s="52" t="s">
        <v>102</v>
      </c>
      <c r="I43" s="51"/>
      <c r="J43" s="46" t="str">
        <f t="shared" si="63"/>
        <v>627910AF</v>
      </c>
      <c r="K43" s="47"/>
      <c r="L43" s="47"/>
      <c r="M43" s="48"/>
      <c r="O43" s="52" t="s">
        <v>104</v>
      </c>
      <c r="P43" s="51"/>
      <c r="Q43" s="46" t="str">
        <f t="shared" si="64"/>
        <v>487779E3</v>
      </c>
      <c r="R43" s="47"/>
      <c r="S43" s="47"/>
      <c r="T43" s="48"/>
      <c r="U43" s="50" t="s">
        <v>113</v>
      </c>
      <c r="V43" s="51"/>
      <c r="W43" s="46" t="str">
        <f t="shared" si="65"/>
        <v>00000158</v>
      </c>
      <c r="X43" s="47"/>
      <c r="Y43" s="47"/>
      <c r="Z43" s="48"/>
      <c r="AD43" s="49" t="s">
        <v>63</v>
      </c>
      <c r="AE43" s="49"/>
      <c r="AF43" s="49"/>
      <c r="AG43" s="16" t="str">
        <f t="shared" si="66"/>
        <v>26</v>
      </c>
      <c r="AH43" s="16" t="str">
        <f t="shared" si="55"/>
        <v>4E</v>
      </c>
      <c r="AI43" s="16" t="str">
        <f t="shared" si="56"/>
        <v>2F</v>
      </c>
      <c r="AJ43" s="16" t="str">
        <f t="shared" si="57"/>
        <v>94</v>
      </c>
      <c r="AL43" s="44" t="str">
        <f t="shared" si="12"/>
        <v>264E2F94</v>
      </c>
      <c r="AM43" s="44"/>
      <c r="AN43" s="44"/>
      <c r="AO43" s="44"/>
      <c r="AU43" s="45" t="str">
        <f t="shared" si="58"/>
        <v>264E2F94</v>
      </c>
      <c r="AV43" s="45"/>
      <c r="AW43" s="45"/>
      <c r="AX43" s="45"/>
      <c r="AY43" s="45">
        <f t="shared" si="59"/>
        <v>2985183675</v>
      </c>
      <c r="AZ43" s="45"/>
      <c r="BA43" s="45"/>
      <c r="BB43" s="45"/>
      <c r="BC43" s="45">
        <f t="shared" si="60"/>
        <v>300340178</v>
      </c>
      <c r="BD43" s="45"/>
      <c r="BE43" s="45"/>
      <c r="BF43" s="45"/>
      <c r="BG43" s="45">
        <f t="shared" si="61"/>
        <v>2496178580</v>
      </c>
      <c r="BH43" s="45"/>
      <c r="BI43" s="45"/>
      <c r="BJ43" s="45"/>
      <c r="BK43" s="45">
        <f t="shared" si="51"/>
        <v>624044645</v>
      </c>
      <c r="BL43" s="45"/>
      <c r="BM43" s="45"/>
      <c r="BN43" s="45"/>
      <c r="BO43" s="45">
        <f t="shared" si="52"/>
        <v>1362506</v>
      </c>
      <c r="BP43" s="45"/>
      <c r="BQ43" s="45"/>
      <c r="BR43" s="45"/>
      <c r="BS43" s="45">
        <f t="shared" si="53"/>
        <v>3331387123</v>
      </c>
      <c r="BT43" s="45"/>
      <c r="BU43" s="45"/>
      <c r="BV43" s="45"/>
      <c r="BW43" s="56">
        <f t="shared" si="62"/>
        <v>3732460061</v>
      </c>
      <c r="BX43" s="57"/>
      <c r="BY43" s="57"/>
      <c r="BZ43" s="58"/>
      <c r="CA43" s="45">
        <f t="shared" si="54"/>
        <v>151973692</v>
      </c>
      <c r="CB43" s="45"/>
      <c r="CC43" s="45"/>
      <c r="CD43" s="45"/>
    </row>
    <row r="44" spans="2:82">
      <c r="B44" s="3" t="s">
        <v>114</v>
      </c>
      <c r="C44" s="46" t="str">
        <f t="shared" si="67"/>
        <v>7C23FA75</v>
      </c>
      <c r="D44" s="47"/>
      <c r="E44" s="47"/>
      <c r="F44" s="48"/>
      <c r="H44" s="52" t="s">
        <v>102</v>
      </c>
      <c r="I44" s="51"/>
      <c r="J44" s="46" t="str">
        <f t="shared" si="63"/>
        <v>2E3E6D05</v>
      </c>
      <c r="K44" s="47"/>
      <c r="L44" s="47"/>
      <c r="M44" s="48"/>
      <c r="O44" s="52" t="s">
        <v>104</v>
      </c>
      <c r="P44" s="51"/>
      <c r="Q44" s="46" t="str">
        <f t="shared" si="64"/>
        <v>C79AA725</v>
      </c>
      <c r="R44" s="47"/>
      <c r="S44" s="47"/>
      <c r="T44" s="48"/>
      <c r="U44" s="50" t="s">
        <v>113</v>
      </c>
      <c r="V44" s="51"/>
      <c r="W44" s="46" t="str">
        <f t="shared" si="65"/>
        <v>487779E3</v>
      </c>
      <c r="X44" s="47"/>
      <c r="Y44" s="47"/>
      <c r="Z44" s="48"/>
      <c r="AD44" s="49" t="s">
        <v>64</v>
      </c>
      <c r="AE44" s="49"/>
      <c r="AF44" s="49"/>
      <c r="AG44" s="16" t="str">
        <f t="shared" si="66"/>
        <v>F3</v>
      </c>
      <c r="AH44" s="16" t="str">
        <f t="shared" si="55"/>
        <v>D6</v>
      </c>
      <c r="AI44" s="16" t="str">
        <f t="shared" si="56"/>
        <v>10</v>
      </c>
      <c r="AJ44" s="16" t="str">
        <f t="shared" si="57"/>
        <v>9F</v>
      </c>
      <c r="AL44" s="44" t="str">
        <f t="shared" si="12"/>
        <v>F3D6109F</v>
      </c>
      <c r="AM44" s="44"/>
      <c r="AN44" s="44"/>
      <c r="AO44" s="44"/>
      <c r="AU44" s="45" t="str">
        <f t="shared" si="58"/>
        <v>F3D6109F</v>
      </c>
      <c r="AV44" s="45"/>
      <c r="AW44" s="45"/>
      <c r="AX44" s="45"/>
      <c r="AY44" s="45">
        <f t="shared" si="59"/>
        <v>2188056939</v>
      </c>
      <c r="AZ44" s="45"/>
      <c r="BA44" s="45"/>
      <c r="BB44" s="45"/>
      <c r="BC44" s="45">
        <f t="shared" si="60"/>
        <v>4206170188</v>
      </c>
      <c r="BD44" s="45"/>
      <c r="BE44" s="45"/>
      <c r="BF44" s="45"/>
      <c r="BG44" s="45">
        <f t="shared" si="61"/>
        <v>4248485393</v>
      </c>
      <c r="BH44" s="45"/>
      <c r="BI44" s="45"/>
      <c r="BJ44" s="45"/>
      <c r="BK44" s="45">
        <f t="shared" si="51"/>
        <v>2135863172</v>
      </c>
      <c r="BL44" s="45"/>
      <c r="BM44" s="45"/>
      <c r="BN44" s="45"/>
      <c r="BO44" s="45">
        <f t="shared" si="52"/>
        <v>2033918</v>
      </c>
      <c r="BP44" s="45"/>
      <c r="BQ44" s="45"/>
      <c r="BR44" s="45"/>
      <c r="BS44" s="45">
        <f t="shared" si="53"/>
        <v>1267676494</v>
      </c>
      <c r="BT44" s="45"/>
      <c r="BU44" s="45"/>
      <c r="BV44" s="45"/>
      <c r="BW44" s="56">
        <f t="shared" si="62"/>
        <v>2848551398</v>
      </c>
      <c r="BX44" s="57"/>
      <c r="BY44" s="57"/>
      <c r="BZ44" s="58"/>
      <c r="CA44" s="45">
        <f t="shared" si="54"/>
        <v>418600164</v>
      </c>
      <c r="CB44" s="45"/>
      <c r="CC44" s="45"/>
      <c r="CD44" s="45"/>
    </row>
    <row r="45" spans="2:82">
      <c r="B45" s="3" t="s">
        <v>114</v>
      </c>
      <c r="C45" s="46" t="str">
        <f t="shared" si="67"/>
        <v>264E2F94</v>
      </c>
      <c r="D45" s="47"/>
      <c r="E45" s="47"/>
      <c r="F45" s="48"/>
      <c r="H45" s="52" t="s">
        <v>102</v>
      </c>
      <c r="I45" s="51"/>
      <c r="J45" s="46" t="str">
        <f t="shared" si="63"/>
        <v>17927EDD</v>
      </c>
      <c r="K45" s="47"/>
      <c r="L45" s="47"/>
      <c r="M45" s="48"/>
      <c r="O45" s="52" t="s">
        <v>104</v>
      </c>
      <c r="P45" s="51"/>
      <c r="Q45" s="46" t="str">
        <f t="shared" si="64"/>
        <v>55B84C22</v>
      </c>
      <c r="R45" s="47"/>
      <c r="S45" s="47"/>
      <c r="T45" s="48"/>
      <c r="U45" s="50" t="s">
        <v>113</v>
      </c>
      <c r="V45" s="51"/>
      <c r="W45" s="46" t="str">
        <f t="shared" si="65"/>
        <v>C79AA725</v>
      </c>
      <c r="X45" s="47"/>
      <c r="Y45" s="47"/>
      <c r="Z45" s="48"/>
      <c r="AD45" s="49" t="s">
        <v>65</v>
      </c>
      <c r="AE45" s="49"/>
      <c r="AF45" s="49"/>
      <c r="AG45" s="16" t="str">
        <f t="shared" si="66"/>
        <v>0E</v>
      </c>
      <c r="AH45" s="16" t="str">
        <f t="shared" si="55"/>
        <v>73</v>
      </c>
      <c r="AI45" s="16" t="str">
        <f t="shared" si="56"/>
        <v>16</v>
      </c>
      <c r="AJ45" s="16" t="str">
        <f t="shared" si="57"/>
        <v>D9</v>
      </c>
      <c r="AL45" s="44" t="str">
        <f t="shared" si="12"/>
        <v>0E7316D9</v>
      </c>
      <c r="AM45" s="44"/>
      <c r="AN45" s="44"/>
      <c r="AO45" s="44"/>
      <c r="AU45" s="45" t="str">
        <f t="shared" si="58"/>
        <v>0E7316D9</v>
      </c>
      <c r="AV45" s="45"/>
      <c r="AW45" s="45"/>
      <c r="AX45" s="45"/>
      <c r="AY45" s="45">
        <f t="shared" si="59"/>
        <v>3526427749</v>
      </c>
      <c r="AZ45" s="45"/>
      <c r="BA45" s="45"/>
      <c r="BB45" s="45"/>
      <c r="BC45" s="45">
        <f t="shared" si="60"/>
        <v>1561652338</v>
      </c>
      <c r="BD45" s="45"/>
      <c r="BE45" s="45"/>
      <c r="BF45" s="45"/>
      <c r="BG45" s="45">
        <f t="shared" si="61"/>
        <v>399119143</v>
      </c>
      <c r="BH45" s="45"/>
      <c r="BI45" s="45"/>
      <c r="BJ45" s="45"/>
      <c r="BK45" s="45">
        <f t="shared" si="51"/>
        <v>3321005257</v>
      </c>
      <c r="BL45" s="45"/>
      <c r="BM45" s="45"/>
      <c r="BN45" s="45"/>
      <c r="BO45" s="45">
        <f t="shared" si="52"/>
        <v>627595</v>
      </c>
      <c r="BP45" s="45"/>
      <c r="BQ45" s="45"/>
      <c r="BR45" s="45"/>
      <c r="BS45" s="45">
        <f t="shared" si="53"/>
        <v>1152086168</v>
      </c>
      <c r="BT45" s="45"/>
      <c r="BU45" s="45"/>
      <c r="BV45" s="45"/>
      <c r="BW45" s="56">
        <f t="shared" si="62"/>
        <v>319329646</v>
      </c>
      <c r="BX45" s="57"/>
      <c r="BY45" s="57"/>
      <c r="BZ45" s="58"/>
      <c r="CA45" s="45">
        <f t="shared" si="54"/>
        <v>179767684</v>
      </c>
      <c r="CB45" s="45"/>
      <c r="CC45" s="45"/>
      <c r="CD45" s="45"/>
    </row>
    <row r="46" spans="2:82">
      <c r="B46" s="3" t="s">
        <v>114</v>
      </c>
      <c r="C46" s="46" t="str">
        <f t="shared" si="67"/>
        <v>F3D6109F</v>
      </c>
      <c r="D46" s="47"/>
      <c r="E46" s="47"/>
      <c r="F46" s="48"/>
      <c r="H46" s="52" t="s">
        <v>102</v>
      </c>
      <c r="I46" s="51"/>
      <c r="J46" s="46" t="str">
        <f t="shared" si="63"/>
        <v>47DFA1C4</v>
      </c>
      <c r="K46" s="47"/>
      <c r="L46" s="47"/>
      <c r="M46" s="48"/>
      <c r="O46" s="52" t="s">
        <v>104</v>
      </c>
      <c r="P46" s="51"/>
      <c r="Q46" s="46" t="str">
        <f t="shared" si="64"/>
        <v>08C85426</v>
      </c>
      <c r="R46" s="47"/>
      <c r="S46" s="47"/>
      <c r="T46" s="48"/>
      <c r="U46" s="50" t="s">
        <v>113</v>
      </c>
      <c r="V46" s="51"/>
      <c r="W46" s="46" t="str">
        <f t="shared" si="65"/>
        <v>55B84C22</v>
      </c>
      <c r="X46" s="47"/>
      <c r="Y46" s="47"/>
      <c r="Z46" s="48"/>
      <c r="AD46" s="49" t="s">
        <v>66</v>
      </c>
      <c r="AE46" s="49"/>
      <c r="AF46" s="49"/>
      <c r="AG46" s="16" t="str">
        <f t="shared" si="66"/>
        <v>BF</v>
      </c>
      <c r="AH46" s="16" t="str">
        <f t="shared" si="55"/>
        <v>F9</v>
      </c>
      <c r="AI46" s="16" t="str">
        <f t="shared" si="56"/>
        <v>F8</v>
      </c>
      <c r="AJ46" s="16" t="str">
        <f t="shared" si="57"/>
        <v>19</v>
      </c>
      <c r="AL46" s="44" t="str">
        <f t="shared" si="12"/>
        <v>BFF9F819</v>
      </c>
      <c r="AM46" s="44"/>
      <c r="AN46" s="44"/>
      <c r="AO46" s="44"/>
      <c r="AU46" s="45" t="str">
        <f t="shared" si="58"/>
        <v>BFF9F819</v>
      </c>
      <c r="AV46" s="45"/>
      <c r="AW46" s="45"/>
      <c r="AX46" s="45"/>
      <c r="AY46" s="45">
        <f t="shared" si="59"/>
        <v>3395351061</v>
      </c>
      <c r="AZ46" s="45"/>
      <c r="BA46" s="45"/>
      <c r="BB46" s="45"/>
      <c r="BC46" s="45">
        <f t="shared" si="60"/>
        <v>1476466718</v>
      </c>
      <c r="BD46" s="45"/>
      <c r="BE46" s="45"/>
      <c r="BF46" s="45"/>
      <c r="BG46" s="45">
        <f t="shared" si="61"/>
        <v>139459051</v>
      </c>
      <c r="BH46" s="45"/>
      <c r="BI46" s="45"/>
      <c r="BJ46" s="45"/>
      <c r="BK46" s="45">
        <f t="shared" si="51"/>
        <v>3256090234</v>
      </c>
      <c r="BL46" s="45"/>
      <c r="BM46" s="45"/>
      <c r="BN46" s="45"/>
      <c r="BO46" s="45">
        <f t="shared" si="52"/>
        <v>3995012</v>
      </c>
      <c r="BP46" s="45"/>
      <c r="BQ46" s="45"/>
      <c r="BR46" s="45"/>
      <c r="BS46" s="45">
        <f t="shared" si="53"/>
        <v>1276219560</v>
      </c>
      <c r="BT46" s="45"/>
      <c r="BU46" s="45"/>
      <c r="BV46" s="45"/>
      <c r="BW46" s="56">
        <f t="shared" si="62"/>
        <v>352944690</v>
      </c>
      <c r="BX46" s="57"/>
      <c r="BY46" s="57"/>
      <c r="BZ46" s="58"/>
      <c r="CA46" s="45">
        <f t="shared" si="54"/>
        <v>18418308</v>
      </c>
      <c r="CB46" s="45"/>
      <c r="CC46" s="45"/>
      <c r="CD46" s="45"/>
    </row>
    <row r="47" spans="2:82">
      <c r="B47" s="3" t="s">
        <v>114</v>
      </c>
      <c r="C47" s="46" t="str">
        <f t="shared" si="67"/>
        <v>0E7316D9</v>
      </c>
      <c r="D47" s="47"/>
      <c r="E47" s="47"/>
      <c r="F47" s="48"/>
      <c r="H47" s="52" t="s">
        <v>102</v>
      </c>
      <c r="I47" s="51"/>
      <c r="J47" s="46" t="str">
        <f t="shared" si="63"/>
        <v>F51C0474</v>
      </c>
      <c r="K47" s="47"/>
      <c r="L47" s="47"/>
      <c r="M47" s="48"/>
      <c r="O47" s="52" t="s">
        <v>104</v>
      </c>
      <c r="P47" s="51"/>
      <c r="Q47" s="46" t="str">
        <f t="shared" si="64"/>
        <v>4CB5E481</v>
      </c>
      <c r="R47" s="47"/>
      <c r="S47" s="47"/>
      <c r="T47" s="48"/>
      <c r="U47" s="50" t="s">
        <v>113</v>
      </c>
      <c r="V47" s="51"/>
      <c r="W47" s="46" t="str">
        <f t="shared" si="65"/>
        <v>08C85426</v>
      </c>
      <c r="X47" s="47"/>
      <c r="Y47" s="47"/>
      <c r="Z47" s="48"/>
      <c r="AD47" s="49" t="s">
        <v>67</v>
      </c>
      <c r="AE47" s="49"/>
      <c r="AF47" s="49"/>
      <c r="AG47" s="16" t="str">
        <f t="shared" si="66"/>
        <v>59</v>
      </c>
      <c r="AH47" s="16" t="str">
        <f t="shared" si="55"/>
        <v>C8</v>
      </c>
      <c r="AI47" s="16" t="str">
        <f t="shared" si="56"/>
        <v>17</v>
      </c>
      <c r="AJ47" s="16" t="str">
        <f t="shared" si="57"/>
        <v>40</v>
      </c>
      <c r="AL47" s="44" t="str">
        <f t="shared" si="12"/>
        <v>59C81740</v>
      </c>
      <c r="AM47" s="44"/>
      <c r="AN47" s="44"/>
      <c r="AO47" s="44"/>
      <c r="AU47" s="45" t="str">
        <f t="shared" si="58"/>
        <v>59C81740</v>
      </c>
      <c r="AV47" s="45"/>
      <c r="AW47" s="45"/>
      <c r="AX47" s="45"/>
      <c r="AY47" s="45">
        <f t="shared" si="59"/>
        <v>3920902706</v>
      </c>
      <c r="AZ47" s="45"/>
      <c r="BA47" s="45"/>
      <c r="BB47" s="45"/>
      <c r="BC47" s="45">
        <f t="shared" si="60"/>
        <v>1915716724</v>
      </c>
      <c r="BD47" s="45"/>
      <c r="BE47" s="45"/>
      <c r="BF47" s="45"/>
      <c r="BG47" s="45">
        <f t="shared" si="61"/>
        <v>2339145529</v>
      </c>
      <c r="BH47" s="45"/>
      <c r="BI47" s="45"/>
      <c r="BJ47" s="45"/>
      <c r="BK47" s="45">
        <f t="shared" si="51"/>
        <v>1658528206</v>
      </c>
      <c r="BL47" s="45"/>
      <c r="BM47" s="45"/>
      <c r="BN47" s="45"/>
      <c r="BO47" s="45">
        <f t="shared" si="52"/>
        <v>236741</v>
      </c>
      <c r="BP47" s="45"/>
      <c r="BQ47" s="45"/>
      <c r="BR47" s="45"/>
      <c r="BS47" s="45">
        <f t="shared" si="53"/>
        <v>43609033</v>
      </c>
      <c r="BT47" s="45"/>
      <c r="BU47" s="45"/>
      <c r="BV47" s="45"/>
      <c r="BW47" s="56">
        <f t="shared" si="62"/>
        <v>2032161581</v>
      </c>
      <c r="BX47" s="57"/>
      <c r="BY47" s="57"/>
      <c r="BZ47" s="58"/>
      <c r="CA47" s="45">
        <f t="shared" si="54"/>
        <v>160873616</v>
      </c>
      <c r="CB47" s="45"/>
      <c r="CC47" s="45"/>
      <c r="CD47" s="45"/>
    </row>
    <row r="48" spans="2:82">
      <c r="B48" s="3" t="s">
        <v>114</v>
      </c>
      <c r="C48" s="46" t="str">
        <f t="shared" si="67"/>
        <v>BFF9F819</v>
      </c>
      <c r="D48" s="47"/>
      <c r="E48" s="47"/>
      <c r="F48" s="48"/>
      <c r="H48" s="52" t="s">
        <v>102</v>
      </c>
      <c r="I48" s="51"/>
      <c r="J48" s="46" t="str">
        <f t="shared" si="63"/>
        <v>53292991</v>
      </c>
      <c r="K48" s="47"/>
      <c r="L48" s="47"/>
      <c r="M48" s="48"/>
      <c r="O48" s="52" t="s">
        <v>104</v>
      </c>
      <c r="P48" s="51"/>
      <c r="Q48" s="46" t="str">
        <f t="shared" si="64"/>
        <v>846B36D0</v>
      </c>
      <c r="R48" s="47"/>
      <c r="S48" s="47"/>
      <c r="T48" s="48"/>
      <c r="U48" s="50" t="s">
        <v>113</v>
      </c>
      <c r="V48" s="51"/>
      <c r="W48" s="46" t="str">
        <f t="shared" si="65"/>
        <v>4CB5E481</v>
      </c>
      <c r="X48" s="47"/>
      <c r="Y48" s="47"/>
      <c r="Z48" s="48"/>
      <c r="AD48" s="49" t="s">
        <v>68</v>
      </c>
      <c r="AE48" s="49"/>
      <c r="AF48" s="49"/>
      <c r="AG48" s="16" t="str">
        <f t="shared" si="66"/>
        <v>DF</v>
      </c>
      <c r="AH48" s="16" t="str">
        <f t="shared" si="55"/>
        <v>30</v>
      </c>
      <c r="AI48" s="16" t="str">
        <f t="shared" si="56"/>
        <v>B6</v>
      </c>
      <c r="AJ48" s="16" t="str">
        <f t="shared" si="57"/>
        <v>3C</v>
      </c>
      <c r="AL48" s="44" t="str">
        <f t="shared" si="12"/>
        <v>DF30B63C</v>
      </c>
      <c r="AM48" s="44"/>
      <c r="AN48" s="44"/>
      <c r="AO48" s="44"/>
      <c r="AU48" s="45" t="str">
        <f t="shared" si="58"/>
        <v>DF30B63C</v>
      </c>
      <c r="AV48" s="45"/>
      <c r="AW48" s="45"/>
      <c r="AX48" s="45"/>
      <c r="AY48" s="45">
        <f t="shared" si="59"/>
        <v>3273660029</v>
      </c>
      <c r="AZ48" s="45"/>
      <c r="BA48" s="45"/>
      <c r="BB48" s="45"/>
      <c r="BC48" s="45">
        <f t="shared" si="60"/>
        <v>2083623341</v>
      </c>
      <c r="BD48" s="45"/>
      <c r="BE48" s="45"/>
      <c r="BF48" s="45"/>
      <c r="BG48" s="45">
        <f t="shared" si="61"/>
        <v>4228702204</v>
      </c>
      <c r="BH48" s="45"/>
      <c r="BI48" s="45"/>
      <c r="BJ48" s="45"/>
      <c r="BK48" s="45">
        <f t="shared" si="51"/>
        <v>1057175551</v>
      </c>
      <c r="BL48" s="45"/>
      <c r="BM48" s="45"/>
      <c r="BN48" s="45"/>
      <c r="BO48" s="45">
        <f t="shared" si="52"/>
        <v>3145342</v>
      </c>
      <c r="BP48" s="45"/>
      <c r="BQ48" s="45"/>
      <c r="BR48" s="45"/>
      <c r="BS48" s="45">
        <f t="shared" si="53"/>
        <v>2701710957</v>
      </c>
      <c r="BT48" s="45"/>
      <c r="BU48" s="45"/>
      <c r="BV48" s="45"/>
      <c r="BW48" s="56">
        <f t="shared" si="62"/>
        <v>3451134234</v>
      </c>
      <c r="BX48" s="57"/>
      <c r="BY48" s="57"/>
      <c r="BZ48" s="58"/>
      <c r="CA48" s="45">
        <f t="shared" si="54"/>
        <v>277702362</v>
      </c>
      <c r="CB48" s="45"/>
      <c r="CC48" s="45"/>
      <c r="CD48" s="45"/>
    </row>
    <row r="49" spans="2:82">
      <c r="B49" s="3" t="s">
        <v>114</v>
      </c>
      <c r="C49" s="46" t="str">
        <f t="shared" si="67"/>
        <v>59C81740</v>
      </c>
      <c r="D49" s="47"/>
      <c r="E49" s="47"/>
      <c r="F49" s="48"/>
      <c r="H49" s="52" t="s">
        <v>102</v>
      </c>
      <c r="I49" s="51"/>
      <c r="J49" s="46" t="str">
        <f t="shared" si="63"/>
        <v>7C23FA75</v>
      </c>
      <c r="K49" s="47"/>
      <c r="L49" s="47"/>
      <c r="M49" s="48"/>
      <c r="O49" s="52" t="s">
        <v>104</v>
      </c>
      <c r="P49" s="51"/>
      <c r="Q49" s="46" t="str">
        <f t="shared" si="64"/>
        <v>2E5DCC95</v>
      </c>
      <c r="R49" s="47"/>
      <c r="S49" s="47"/>
      <c r="T49" s="48"/>
      <c r="U49" s="50" t="s">
        <v>113</v>
      </c>
      <c r="V49" s="51"/>
      <c r="W49" s="46" t="str">
        <f t="shared" si="65"/>
        <v>846B36D0</v>
      </c>
      <c r="X49" s="47"/>
      <c r="Y49" s="47"/>
      <c r="Z49" s="48"/>
      <c r="AD49" s="49" t="s">
        <v>69</v>
      </c>
      <c r="AE49" s="49"/>
      <c r="AF49" s="49"/>
      <c r="AG49" s="16" t="str">
        <f t="shared" si="66"/>
        <v>66</v>
      </c>
      <c r="AH49" s="16" t="str">
        <f t="shared" si="55"/>
        <v>9F</v>
      </c>
      <c r="AI49" s="16" t="str">
        <f t="shared" si="56"/>
        <v>D0</v>
      </c>
      <c r="AJ49" s="16" t="str">
        <f t="shared" si="57"/>
        <v>B9</v>
      </c>
      <c r="AL49" s="44" t="str">
        <f t="shared" si="12"/>
        <v>669FD0B9</v>
      </c>
      <c r="AM49" s="44"/>
      <c r="AN49" s="44"/>
      <c r="AO49" s="44"/>
      <c r="AU49" s="45" t="str">
        <f t="shared" si="58"/>
        <v>669FD0B9</v>
      </c>
      <c r="AV49" s="45"/>
      <c r="AW49" s="45"/>
      <c r="AX49" s="45"/>
      <c r="AY49" s="45">
        <f t="shared" si="59"/>
        <v>157177304</v>
      </c>
      <c r="AZ49" s="45"/>
      <c r="BA49" s="45"/>
      <c r="BB49" s="45"/>
      <c r="BC49" s="45">
        <f t="shared" si="60"/>
        <v>1555188124</v>
      </c>
      <c r="BD49" s="45"/>
      <c r="BE49" s="45"/>
      <c r="BF49" s="45"/>
      <c r="BG49" s="45">
        <f t="shared" si="61"/>
        <v>195046628</v>
      </c>
      <c r="BH49" s="45"/>
      <c r="BI49" s="45"/>
      <c r="BJ49" s="45"/>
      <c r="BK49" s="45">
        <f t="shared" si="51"/>
        <v>48761657</v>
      </c>
      <c r="BL49" s="45"/>
      <c r="BM49" s="45"/>
      <c r="BN49" s="45"/>
      <c r="BO49" s="45">
        <f t="shared" si="52"/>
        <v>1470981</v>
      </c>
      <c r="BP49" s="45"/>
      <c r="BQ49" s="45"/>
      <c r="BR49" s="45"/>
      <c r="BS49" s="45">
        <f t="shared" si="53"/>
        <v>710720409</v>
      </c>
      <c r="BT49" s="45"/>
      <c r="BU49" s="45"/>
      <c r="BV49" s="45"/>
      <c r="BW49" s="56">
        <f t="shared" si="62"/>
        <v>1931824023</v>
      </c>
      <c r="BX49" s="57"/>
      <c r="BY49" s="57"/>
      <c r="BZ49" s="58"/>
      <c r="CA49" s="45">
        <f t="shared" si="54"/>
        <v>97237394</v>
      </c>
      <c r="CB49" s="45"/>
      <c r="CC49" s="45"/>
      <c r="CD49" s="45"/>
    </row>
    <row r="50" spans="2:82">
      <c r="B50" s="3" t="s">
        <v>114</v>
      </c>
      <c r="C50" s="46" t="str">
        <f t="shared" si="67"/>
        <v>DF30B63C</v>
      </c>
      <c r="D50" s="47"/>
      <c r="E50" s="47"/>
      <c r="F50" s="48"/>
      <c r="H50" s="52" t="s">
        <v>102</v>
      </c>
      <c r="I50" s="51"/>
      <c r="J50" s="46" t="str">
        <f t="shared" si="63"/>
        <v>264E2F94</v>
      </c>
      <c r="K50" s="47"/>
      <c r="L50" s="47"/>
      <c r="M50" s="48"/>
      <c r="O50" s="52" t="s">
        <v>104</v>
      </c>
      <c r="P50" s="51"/>
      <c r="Q50" s="46" t="str">
        <f t="shared" si="64"/>
        <v>49445720</v>
      </c>
      <c r="R50" s="47"/>
      <c r="S50" s="47"/>
      <c r="T50" s="48"/>
      <c r="U50" s="50" t="s">
        <v>113</v>
      </c>
      <c r="V50" s="51"/>
      <c r="W50" s="46" t="str">
        <f t="shared" si="65"/>
        <v>2E5DCC95</v>
      </c>
      <c r="X50" s="47"/>
      <c r="Y50" s="47"/>
      <c r="Z50" s="48"/>
      <c r="AD50" s="49" t="s">
        <v>70</v>
      </c>
      <c r="AE50" s="49"/>
      <c r="AF50" s="49"/>
      <c r="AG50" s="16" t="str">
        <f t="shared" si="66"/>
        <v>FF</v>
      </c>
      <c r="AH50" s="16" t="str">
        <f t="shared" si="55"/>
        <v>0C</v>
      </c>
      <c r="AI50" s="16" t="str">
        <f t="shared" si="56"/>
        <v>44</v>
      </c>
      <c r="AJ50" s="16" t="str">
        <f t="shared" si="57"/>
        <v>97</v>
      </c>
      <c r="AL50" s="44" t="str">
        <f t="shared" si="12"/>
        <v>FF0C4497</v>
      </c>
      <c r="AM50" s="44"/>
      <c r="AN50" s="44"/>
      <c r="AO50" s="44"/>
      <c r="AU50" s="45" t="str">
        <f t="shared" si="58"/>
        <v>FF0C4497</v>
      </c>
      <c r="AV50" s="45"/>
      <c r="AW50" s="45"/>
      <c r="AX50" s="45"/>
      <c r="AY50" s="45">
        <f t="shared" si="59"/>
        <v>1307457619</v>
      </c>
      <c r="AZ50" s="45"/>
      <c r="BA50" s="45"/>
      <c r="BB50" s="45"/>
      <c r="BC50" s="45">
        <f t="shared" si="60"/>
        <v>1550979099</v>
      </c>
      <c r="BD50" s="45"/>
      <c r="BE50" s="45"/>
      <c r="BF50" s="45"/>
      <c r="BG50" s="45">
        <f t="shared" si="61"/>
        <v>1528721304</v>
      </c>
      <c r="BH50" s="45"/>
      <c r="BI50" s="45"/>
      <c r="BJ50" s="45"/>
      <c r="BK50" s="45">
        <f t="shared" si="51"/>
        <v>382180326</v>
      </c>
      <c r="BL50" s="45"/>
      <c r="BM50" s="45"/>
      <c r="BN50" s="45"/>
      <c r="BO50" s="45">
        <f t="shared" si="52"/>
        <v>3656749</v>
      </c>
      <c r="BP50" s="45"/>
      <c r="BQ50" s="45"/>
      <c r="BR50" s="45"/>
      <c r="BS50" s="45">
        <f t="shared" si="53"/>
        <v>1083345070</v>
      </c>
      <c r="BT50" s="45"/>
      <c r="BU50" s="45"/>
      <c r="BV50" s="45"/>
      <c r="BW50" s="56">
        <f t="shared" si="62"/>
        <v>365433425</v>
      </c>
      <c r="BX50" s="57"/>
      <c r="BY50" s="57"/>
      <c r="BZ50" s="58"/>
      <c r="CA50" s="45">
        <f t="shared" si="54"/>
        <v>153651940</v>
      </c>
      <c r="CB50" s="45"/>
      <c r="CC50" s="45"/>
      <c r="CD50" s="45"/>
    </row>
    <row r="51" spans="2:82">
      <c r="B51" s="3" t="s">
        <v>114</v>
      </c>
      <c r="C51" s="46" t="str">
        <f t="shared" si="67"/>
        <v>669FD0B9</v>
      </c>
      <c r="D51" s="47"/>
      <c r="E51" s="47"/>
      <c r="F51" s="48"/>
      <c r="H51" s="52" t="s">
        <v>102</v>
      </c>
      <c r="I51" s="51"/>
      <c r="J51" s="46" t="str">
        <f t="shared" si="63"/>
        <v>F3D6109F</v>
      </c>
      <c r="K51" s="47"/>
      <c r="L51" s="47"/>
      <c r="M51" s="48"/>
      <c r="O51" s="52" t="s">
        <v>104</v>
      </c>
      <c r="P51" s="51"/>
      <c r="Q51" s="46" t="str">
        <f t="shared" si="64"/>
        <v>627910AF</v>
      </c>
      <c r="R51" s="47"/>
      <c r="S51" s="47"/>
      <c r="T51" s="48"/>
      <c r="U51" s="50" t="s">
        <v>113</v>
      </c>
      <c r="V51" s="51"/>
      <c r="W51" s="46" t="str">
        <f t="shared" si="65"/>
        <v>49445720</v>
      </c>
      <c r="X51" s="47"/>
      <c r="Y51" s="47"/>
      <c r="Z51" s="48"/>
      <c r="AD51" s="49" t="s">
        <v>71</v>
      </c>
      <c r="AE51" s="49"/>
      <c r="AF51" s="49"/>
      <c r="AG51" s="16" t="str">
        <f t="shared" si="66"/>
        <v>66</v>
      </c>
      <c r="AH51" s="16" t="str">
        <f t="shared" si="55"/>
        <v>0C</v>
      </c>
      <c r="AI51" s="16" t="str">
        <f t="shared" si="56"/>
        <v>A8</v>
      </c>
      <c r="AJ51" s="16" t="str">
        <f t="shared" si="57"/>
        <v>D1</v>
      </c>
      <c r="AL51" s="44" t="str">
        <f t="shared" si="12"/>
        <v>660CA8D1</v>
      </c>
      <c r="AM51" s="44"/>
      <c r="AN51" s="44"/>
      <c r="AO51" s="44"/>
      <c r="AU51" s="45" t="str">
        <f t="shared" si="58"/>
        <v>660CA8D1</v>
      </c>
      <c r="AV51" s="45"/>
      <c r="AW51" s="45"/>
      <c r="AX51" s="45"/>
      <c r="AY51" s="45">
        <f t="shared" si="59"/>
        <v>307378280</v>
      </c>
      <c r="AZ51" s="45"/>
      <c r="BA51" s="45"/>
      <c r="BB51" s="45"/>
      <c r="BC51" s="45">
        <f t="shared" si="60"/>
        <v>379586730</v>
      </c>
      <c r="BD51" s="45"/>
      <c r="BE51" s="45"/>
      <c r="BF51" s="45"/>
      <c r="BG51" s="45">
        <f t="shared" si="61"/>
        <v>3898389327</v>
      </c>
      <c r="BH51" s="45"/>
      <c r="BI51" s="45"/>
      <c r="BJ51" s="45"/>
      <c r="BK51" s="45">
        <f t="shared" si="51"/>
        <v>4195822803</v>
      </c>
      <c r="BL51" s="45"/>
      <c r="BM51" s="45"/>
      <c r="BN51" s="45"/>
      <c r="BO51" s="45">
        <f t="shared" si="52"/>
        <v>1681396</v>
      </c>
      <c r="BP51" s="45"/>
      <c r="BQ51" s="45"/>
      <c r="BR51" s="45"/>
      <c r="BS51" s="45">
        <f t="shared" si="53"/>
        <v>1589965345</v>
      </c>
      <c r="BT51" s="45"/>
      <c r="BU51" s="45"/>
      <c r="BV51" s="45"/>
      <c r="BW51" s="56">
        <f t="shared" si="62"/>
        <v>1143724190</v>
      </c>
      <c r="BX51" s="57"/>
      <c r="BY51" s="57"/>
      <c r="BZ51" s="58"/>
      <c r="CA51" s="45">
        <f t="shared" si="54"/>
        <v>206512661</v>
      </c>
      <c r="CB51" s="45"/>
      <c r="CC51" s="45"/>
      <c r="CD51" s="45"/>
    </row>
    <row r="52" spans="2:82">
      <c r="B52" s="3" t="s">
        <v>114</v>
      </c>
      <c r="C52" s="46" t="str">
        <f t="shared" si="67"/>
        <v>FF0C4497</v>
      </c>
      <c r="D52" s="47"/>
      <c r="E52" s="47"/>
      <c r="F52" s="48"/>
      <c r="H52" s="52" t="s">
        <v>102</v>
      </c>
      <c r="I52" s="51"/>
      <c r="J52" s="46" t="str">
        <f t="shared" si="63"/>
        <v>0E7316D9</v>
      </c>
      <c r="K52" s="47"/>
      <c r="L52" s="47"/>
      <c r="M52" s="48"/>
      <c r="O52" s="52" t="s">
        <v>104</v>
      </c>
      <c r="P52" s="51"/>
      <c r="Q52" s="46" t="str">
        <f t="shared" si="64"/>
        <v>2E3E6D05</v>
      </c>
      <c r="R52" s="47"/>
      <c r="S52" s="47"/>
      <c r="T52" s="48"/>
      <c r="U52" s="50" t="s">
        <v>113</v>
      </c>
      <c r="V52" s="51"/>
      <c r="W52" s="46" t="str">
        <f t="shared" si="65"/>
        <v>627910AF</v>
      </c>
      <c r="X52" s="47"/>
      <c r="Y52" s="47"/>
      <c r="Z52" s="48"/>
      <c r="AD52" s="49" t="s">
        <v>72</v>
      </c>
      <c r="AE52" s="49"/>
      <c r="AF52" s="49"/>
      <c r="AG52" s="16" t="str">
        <f t="shared" si="66"/>
        <v>B0</v>
      </c>
      <c r="AH52" s="16" t="str">
        <f t="shared" si="55"/>
        <v>AD</v>
      </c>
      <c r="AI52" s="16" t="str">
        <f t="shared" si="56"/>
        <v>E5</v>
      </c>
      <c r="AJ52" s="16" t="str">
        <f t="shared" si="57"/>
        <v>F3</v>
      </c>
      <c r="AL52" s="44" t="str">
        <f t="shared" si="12"/>
        <v>B0ADE5F3</v>
      </c>
      <c r="AM52" s="44"/>
      <c r="AN52" s="44"/>
      <c r="AO52" s="44"/>
      <c r="AU52" s="45" t="str">
        <f t="shared" si="58"/>
        <v>B0ADE5F3</v>
      </c>
      <c r="AV52" s="45"/>
      <c r="AW52" s="45"/>
      <c r="AX52" s="45"/>
      <c r="AY52" s="45">
        <f t="shared" si="59"/>
        <v>2867250038</v>
      </c>
      <c r="AZ52" s="45"/>
      <c r="BA52" s="45"/>
      <c r="BB52" s="45"/>
      <c r="BC52" s="45">
        <f t="shared" si="60"/>
        <v>2497379061</v>
      </c>
      <c r="BD52" s="45"/>
      <c r="BE52" s="45"/>
      <c r="BF52" s="45"/>
      <c r="BG52" s="45">
        <f t="shared" si="61"/>
        <v>575405958</v>
      </c>
      <c r="BH52" s="45"/>
      <c r="BI52" s="45"/>
      <c r="BJ52" s="45"/>
      <c r="BK52" s="45">
        <f t="shared" si="51"/>
        <v>2291335137</v>
      </c>
      <c r="BL52" s="45"/>
      <c r="BM52" s="45"/>
      <c r="BN52" s="45"/>
      <c r="BO52" s="45">
        <f t="shared" si="52"/>
        <v>4178705</v>
      </c>
      <c r="BP52" s="45"/>
      <c r="BQ52" s="45"/>
      <c r="BR52" s="45"/>
      <c r="BS52" s="45">
        <f t="shared" si="53"/>
        <v>173833434</v>
      </c>
      <c r="BT52" s="45"/>
      <c r="BU52" s="45"/>
      <c r="BV52" s="45"/>
      <c r="BW52" s="56">
        <f t="shared" si="62"/>
        <v>2604747663</v>
      </c>
      <c r="BX52" s="57"/>
      <c r="BY52" s="57"/>
      <c r="BZ52" s="58"/>
      <c r="CA52" s="45">
        <f t="shared" si="54"/>
        <v>96980384</v>
      </c>
      <c r="CB52" s="45"/>
      <c r="CC52" s="45"/>
      <c r="CD52" s="45"/>
    </row>
    <row r="53" spans="2:82">
      <c r="B53" s="3" t="s">
        <v>114</v>
      </c>
      <c r="C53" s="46" t="str">
        <f t="shared" si="67"/>
        <v>660CA8D1</v>
      </c>
      <c r="D53" s="47"/>
      <c r="E53" s="47"/>
      <c r="F53" s="48"/>
      <c r="H53" s="52" t="s">
        <v>102</v>
      </c>
      <c r="I53" s="51"/>
      <c r="J53" s="46" t="str">
        <f t="shared" si="63"/>
        <v>BFF9F819</v>
      </c>
      <c r="K53" s="47"/>
      <c r="L53" s="47"/>
      <c r="M53" s="48"/>
      <c r="O53" s="52" t="s">
        <v>104</v>
      </c>
      <c r="P53" s="51"/>
      <c r="Q53" s="46" t="str">
        <f t="shared" si="64"/>
        <v>17927EDD</v>
      </c>
      <c r="R53" s="47"/>
      <c r="S53" s="47"/>
      <c r="T53" s="48"/>
      <c r="U53" s="50" t="s">
        <v>113</v>
      </c>
      <c r="V53" s="51"/>
      <c r="W53" s="46" t="str">
        <f t="shared" si="65"/>
        <v>2E3E6D05</v>
      </c>
      <c r="X53" s="47"/>
      <c r="Y53" s="47"/>
      <c r="Z53" s="48"/>
      <c r="AD53" s="49" t="s">
        <v>73</v>
      </c>
      <c r="AE53" s="49"/>
      <c r="AF53" s="49"/>
      <c r="AG53" s="16" t="str">
        <f t="shared" si="66"/>
        <v>D7</v>
      </c>
      <c r="AH53" s="16" t="str">
        <f t="shared" si="55"/>
        <v>0D</v>
      </c>
      <c r="AI53" s="16" t="str">
        <f t="shared" si="56"/>
        <v>B0</v>
      </c>
      <c r="AJ53" s="16" t="str">
        <f t="shared" si="57"/>
        <v>CD</v>
      </c>
      <c r="AL53" s="44" t="str">
        <f t="shared" si="12"/>
        <v>D70DB0CD</v>
      </c>
      <c r="AM53" s="44"/>
      <c r="AN53" s="44"/>
      <c r="AO53" s="44"/>
      <c r="AU53" s="45" t="str">
        <f t="shared" si="58"/>
        <v>D70DB0CD</v>
      </c>
      <c r="AV53" s="45"/>
      <c r="AW53" s="45"/>
      <c r="AX53" s="45"/>
      <c r="AY53" s="45">
        <f t="shared" si="59"/>
        <v>3245022445</v>
      </c>
      <c r="AZ53" s="45"/>
      <c r="BA53" s="45"/>
      <c r="BB53" s="45"/>
      <c r="BC53" s="45">
        <f t="shared" si="60"/>
        <v>661270210</v>
      </c>
      <c r="BD53" s="45"/>
      <c r="BE53" s="45"/>
      <c r="BF53" s="45"/>
      <c r="BG53" s="45">
        <f t="shared" si="61"/>
        <v>1416147718</v>
      </c>
      <c r="BH53" s="45"/>
      <c r="BI53" s="45"/>
      <c r="BJ53" s="45"/>
      <c r="BK53" s="45">
        <f t="shared" si="51"/>
        <v>2501520577</v>
      </c>
      <c r="BL53" s="45"/>
      <c r="BM53" s="45"/>
      <c r="BN53" s="45"/>
      <c r="BO53" s="45">
        <f t="shared" si="52"/>
        <v>1671978</v>
      </c>
      <c r="BP53" s="45"/>
      <c r="BQ53" s="45"/>
      <c r="BR53" s="45"/>
      <c r="BS53" s="45">
        <f t="shared" si="53"/>
        <v>3123651837</v>
      </c>
      <c r="BT53" s="45"/>
      <c r="BU53" s="45"/>
      <c r="BV53" s="45"/>
      <c r="BW53" s="56">
        <f t="shared" si="62"/>
        <v>2679588324</v>
      </c>
      <c r="BX53" s="57"/>
      <c r="BY53" s="57"/>
      <c r="BZ53" s="58"/>
      <c r="CA53" s="45">
        <f t="shared" si="54"/>
        <v>49434587</v>
      </c>
      <c r="CB53" s="45"/>
      <c r="CC53" s="45"/>
      <c r="CD53" s="45"/>
    </row>
    <row r="54" spans="2:82">
      <c r="B54" s="3" t="s">
        <v>114</v>
      </c>
      <c r="C54" s="46" t="str">
        <f t="shared" si="67"/>
        <v>B0ADE5F3</v>
      </c>
      <c r="D54" s="47"/>
      <c r="E54" s="47"/>
      <c r="F54" s="48"/>
      <c r="H54" s="52" t="s">
        <v>102</v>
      </c>
      <c r="I54" s="51"/>
      <c r="J54" s="46" t="str">
        <f t="shared" si="63"/>
        <v>59C81740</v>
      </c>
      <c r="K54" s="47"/>
      <c r="L54" s="47"/>
      <c r="M54" s="48"/>
      <c r="O54" s="52" t="s">
        <v>104</v>
      </c>
      <c r="P54" s="51"/>
      <c r="Q54" s="46" t="str">
        <f t="shared" si="64"/>
        <v>47DFA1C4</v>
      </c>
      <c r="R54" s="47"/>
      <c r="S54" s="47"/>
      <c r="T54" s="48"/>
      <c r="U54" s="50" t="s">
        <v>113</v>
      </c>
      <c r="V54" s="51"/>
      <c r="W54" s="46" t="str">
        <f t="shared" si="65"/>
        <v>17927EDD</v>
      </c>
      <c r="X54" s="47"/>
      <c r="Y54" s="47"/>
      <c r="Z54" s="48"/>
      <c r="AD54" s="49" t="s">
        <v>74</v>
      </c>
      <c r="AE54" s="49"/>
      <c r="AF54" s="49"/>
      <c r="AG54" s="16" t="str">
        <f t="shared" si="66"/>
        <v>27</v>
      </c>
      <c r="AH54" s="16" t="str">
        <f t="shared" si="55"/>
        <v>CB</v>
      </c>
      <c r="AI54" s="16" t="str">
        <f t="shared" si="56"/>
        <v>75</v>
      </c>
      <c r="AJ54" s="16" t="str">
        <f t="shared" si="57"/>
        <v>E3</v>
      </c>
      <c r="AL54" s="44" t="str">
        <f t="shared" si="12"/>
        <v>27CB75E3</v>
      </c>
      <c r="AM54" s="44"/>
      <c r="AN54" s="44"/>
      <c r="AO54" s="44"/>
      <c r="AU54" s="45" t="str">
        <f t="shared" si="58"/>
        <v>27CB75E3</v>
      </c>
      <c r="AV54" s="45"/>
      <c r="AW54" s="45"/>
      <c r="AX54" s="45"/>
      <c r="AY54" s="45">
        <f t="shared" si="59"/>
        <v>1315669306</v>
      </c>
      <c r="AZ54" s="45"/>
      <c r="BA54" s="45"/>
      <c r="BB54" s="45"/>
      <c r="BC54" s="45">
        <f t="shared" si="60"/>
        <v>1745181324</v>
      </c>
      <c r="BD54" s="45"/>
      <c r="BE54" s="45"/>
      <c r="BF54" s="45"/>
      <c r="BG54" s="45">
        <f t="shared" si="61"/>
        <v>4076460118</v>
      </c>
      <c r="BH54" s="45"/>
      <c r="BI54" s="45"/>
      <c r="BJ54" s="45"/>
      <c r="BK54" s="45">
        <f t="shared" si="51"/>
        <v>3166598677</v>
      </c>
      <c r="BL54" s="45"/>
      <c r="BM54" s="45"/>
      <c r="BN54" s="45"/>
      <c r="BO54" s="45">
        <f t="shared" si="52"/>
        <v>2894713</v>
      </c>
      <c r="BP54" s="45"/>
      <c r="BQ54" s="45"/>
      <c r="BR54" s="45"/>
      <c r="BS54" s="45">
        <f t="shared" si="53"/>
        <v>2291121987</v>
      </c>
      <c r="BT54" s="45"/>
      <c r="BU54" s="45"/>
      <c r="BV54" s="45"/>
      <c r="BW54" s="56">
        <f t="shared" si="62"/>
        <v>3899724279</v>
      </c>
      <c r="BX54" s="57"/>
      <c r="BY54" s="57"/>
      <c r="BZ54" s="58"/>
      <c r="CA54" s="45">
        <f t="shared" si="54"/>
        <v>150729784</v>
      </c>
      <c r="CB54" s="45"/>
      <c r="CC54" s="45"/>
      <c r="CD54" s="45"/>
    </row>
    <row r="55" spans="2:82">
      <c r="B55" s="3" t="s">
        <v>114</v>
      </c>
      <c r="C55" s="46" t="str">
        <f t="shared" si="67"/>
        <v>D70DB0CD</v>
      </c>
      <c r="D55" s="47"/>
      <c r="E55" s="47"/>
      <c r="F55" s="48"/>
      <c r="H55" s="52" t="s">
        <v>102</v>
      </c>
      <c r="I55" s="51"/>
      <c r="J55" s="46" t="str">
        <f t="shared" si="63"/>
        <v>DF30B63C</v>
      </c>
      <c r="K55" s="47"/>
      <c r="L55" s="47"/>
      <c r="M55" s="48"/>
      <c r="O55" s="52" t="s">
        <v>104</v>
      </c>
      <c r="P55" s="51"/>
      <c r="Q55" s="46" t="str">
        <f t="shared" si="64"/>
        <v>F51C0474</v>
      </c>
      <c r="R55" s="47"/>
      <c r="S55" s="47"/>
      <c r="T55" s="48"/>
      <c r="U55" s="50" t="s">
        <v>113</v>
      </c>
      <c r="V55" s="51"/>
      <c r="W55" s="46" t="str">
        <f t="shared" si="65"/>
        <v>47DFA1C4</v>
      </c>
      <c r="X55" s="47"/>
      <c r="Y55" s="47"/>
      <c r="Z55" s="48"/>
      <c r="AD55" s="49" t="s">
        <v>75</v>
      </c>
      <c r="AE55" s="49"/>
      <c r="AF55" s="49"/>
      <c r="AG55" s="16" t="str">
        <f t="shared" si="66"/>
        <v>8B</v>
      </c>
      <c r="AH55" s="16" t="str">
        <f t="shared" si="55"/>
        <v>AF</v>
      </c>
      <c r="AI55" s="16" t="str">
        <f t="shared" si="56"/>
        <v>6F</v>
      </c>
      <c r="AJ55" s="16" t="str">
        <f t="shared" si="57"/>
        <v>CC</v>
      </c>
      <c r="AL55" s="44" t="str">
        <f t="shared" si="12"/>
        <v>8BAF6FCC</v>
      </c>
      <c r="AM55" s="44"/>
      <c r="AN55" s="44"/>
      <c r="AO55" s="44"/>
      <c r="AU55" s="45" t="str">
        <f t="shared" si="58"/>
        <v>8BAF6FCC</v>
      </c>
      <c r="AV55" s="45"/>
      <c r="AW55" s="45"/>
      <c r="AX55" s="45"/>
      <c r="AY55" s="45">
        <f t="shared" si="59"/>
        <v>1850380811</v>
      </c>
      <c r="AZ55" s="45"/>
      <c r="BA55" s="45"/>
      <c r="BB55" s="45"/>
      <c r="BC55" s="45">
        <f t="shared" si="60"/>
        <v>4132734401</v>
      </c>
      <c r="BD55" s="45"/>
      <c r="BE55" s="45"/>
      <c r="BF55" s="45"/>
      <c r="BG55" s="45">
        <f t="shared" si="61"/>
        <v>3630623622</v>
      </c>
      <c r="BH55" s="45"/>
      <c r="BI55" s="45"/>
      <c r="BJ55" s="45"/>
      <c r="BK55" s="45">
        <f t="shared" si="51"/>
        <v>3055139553</v>
      </c>
      <c r="BL55" s="45"/>
      <c r="BM55" s="45"/>
      <c r="BN55" s="45"/>
      <c r="BO55" s="45">
        <f t="shared" si="52"/>
        <v>3523436</v>
      </c>
      <c r="BP55" s="45"/>
      <c r="BQ55" s="45"/>
      <c r="BR55" s="45"/>
      <c r="BS55" s="45">
        <f t="shared" si="53"/>
        <v>3924441096</v>
      </c>
      <c r="BT55" s="45"/>
      <c r="BU55" s="45"/>
      <c r="BV55" s="45"/>
      <c r="BW55" s="56">
        <f t="shared" si="62"/>
        <v>18693447</v>
      </c>
      <c r="BX55" s="57"/>
      <c r="BY55" s="57"/>
      <c r="BZ55" s="58"/>
      <c r="CA55" s="45">
        <f t="shared" si="54"/>
        <v>514031758</v>
      </c>
      <c r="CB55" s="45"/>
      <c r="CC55" s="45"/>
      <c r="CD55" s="45"/>
    </row>
    <row r="56" spans="2:82">
      <c r="B56" s="3" t="s">
        <v>114</v>
      </c>
      <c r="C56" s="46" t="str">
        <f t="shared" si="67"/>
        <v>27CB75E3</v>
      </c>
      <c r="D56" s="47"/>
      <c r="E56" s="47"/>
      <c r="F56" s="48"/>
      <c r="H56" s="52" t="s">
        <v>102</v>
      </c>
      <c r="I56" s="51"/>
      <c r="J56" s="46" t="str">
        <f t="shared" si="63"/>
        <v>669FD0B9</v>
      </c>
      <c r="K56" s="47"/>
      <c r="L56" s="47"/>
      <c r="M56" s="48"/>
      <c r="O56" s="52" t="s">
        <v>104</v>
      </c>
      <c r="P56" s="51"/>
      <c r="Q56" s="46" t="str">
        <f t="shared" si="64"/>
        <v>53292991</v>
      </c>
      <c r="R56" s="47"/>
      <c r="S56" s="47"/>
      <c r="T56" s="48"/>
      <c r="U56" s="50" t="s">
        <v>113</v>
      </c>
      <c r="V56" s="51"/>
      <c r="W56" s="46" t="str">
        <f t="shared" si="65"/>
        <v>F51C0474</v>
      </c>
      <c r="X56" s="47"/>
      <c r="Y56" s="47"/>
      <c r="Z56" s="48"/>
      <c r="AD56" s="49" t="s">
        <v>76</v>
      </c>
      <c r="AE56" s="49"/>
      <c r="AF56" s="49"/>
      <c r="AG56" s="16" t="str">
        <f t="shared" si="66"/>
        <v>92</v>
      </c>
      <c r="AH56" s="16" t="str">
        <f t="shared" si="55"/>
        <v>A6</v>
      </c>
      <c r="AI56" s="16" t="str">
        <f t="shared" si="56"/>
        <v>FE</v>
      </c>
      <c r="AJ56" s="16" t="str">
        <f t="shared" si="57"/>
        <v>99</v>
      </c>
      <c r="AL56" s="44" t="str">
        <f t="shared" si="12"/>
        <v>92A6FE99</v>
      </c>
      <c r="AM56" s="44"/>
      <c r="AN56" s="44"/>
      <c r="AO56" s="44"/>
      <c r="AU56" s="45" t="str">
        <f t="shared" si="58"/>
        <v>92A6FE99</v>
      </c>
      <c r="AV56" s="45"/>
      <c r="AW56" s="45"/>
      <c r="AX56" s="45"/>
      <c r="AY56" s="45">
        <f t="shared" si="59"/>
        <v>3561227713</v>
      </c>
      <c r="AZ56" s="45"/>
      <c r="BA56" s="45"/>
      <c r="BB56" s="45"/>
      <c r="BC56" s="45">
        <f t="shared" si="60"/>
        <v>1655120811</v>
      </c>
      <c r="BD56" s="45"/>
      <c r="BE56" s="45"/>
      <c r="BF56" s="45"/>
      <c r="BG56" s="45">
        <f t="shared" si="61"/>
        <v>3136394213</v>
      </c>
      <c r="BH56" s="45"/>
      <c r="BI56" s="45"/>
      <c r="BJ56" s="45"/>
      <c r="BK56" s="45">
        <f t="shared" si="51"/>
        <v>1857840377</v>
      </c>
      <c r="BL56" s="45"/>
      <c r="BM56" s="45"/>
      <c r="BN56" s="45"/>
      <c r="BO56" s="45">
        <f t="shared" si="52"/>
        <v>651997</v>
      </c>
      <c r="BP56" s="45"/>
      <c r="BQ56" s="45"/>
      <c r="BR56" s="45"/>
      <c r="BS56" s="45">
        <f t="shared" si="53"/>
        <v>581325395</v>
      </c>
      <c r="BT56" s="45"/>
      <c r="BU56" s="45"/>
      <c r="BV56" s="45"/>
      <c r="BW56" s="56">
        <f t="shared" si="62"/>
        <v>1248089290</v>
      </c>
      <c r="BX56" s="57"/>
      <c r="BY56" s="57"/>
      <c r="BZ56" s="58"/>
      <c r="CA56" s="45">
        <f t="shared" si="54"/>
        <v>174400818</v>
      </c>
      <c r="CB56" s="45"/>
      <c r="CC56" s="45"/>
      <c r="CD56" s="45"/>
    </row>
    <row r="57" spans="2:82">
      <c r="B57" s="3" t="s">
        <v>114</v>
      </c>
      <c r="C57" s="46" t="str">
        <f t="shared" si="67"/>
        <v>8BAF6FCC</v>
      </c>
      <c r="D57" s="47"/>
      <c r="E57" s="47"/>
      <c r="F57" s="48"/>
      <c r="H57" s="52" t="s">
        <v>102</v>
      </c>
      <c r="I57" s="51"/>
      <c r="J57" s="46" t="str">
        <f t="shared" si="63"/>
        <v>FF0C4497</v>
      </c>
      <c r="K57" s="47"/>
      <c r="L57" s="47"/>
      <c r="M57" s="48"/>
      <c r="O57" s="52" t="s">
        <v>104</v>
      </c>
      <c r="P57" s="51"/>
      <c r="Q57" s="46" t="str">
        <f t="shared" si="64"/>
        <v>7C23FA75</v>
      </c>
      <c r="R57" s="47"/>
      <c r="S57" s="47"/>
      <c r="T57" s="48"/>
      <c r="U57" s="50" t="s">
        <v>113</v>
      </c>
      <c r="V57" s="51"/>
      <c r="W57" s="46" t="str">
        <f t="shared" si="65"/>
        <v>53292991</v>
      </c>
      <c r="X57" s="47"/>
      <c r="Y57" s="47"/>
      <c r="Z57" s="48"/>
      <c r="AD57" s="49" t="s">
        <v>77</v>
      </c>
      <c r="AE57" s="49"/>
      <c r="AF57" s="49"/>
      <c r="AG57" s="16" t="str">
        <f t="shared" si="66"/>
        <v>C8</v>
      </c>
      <c r="AH57" s="16" t="str">
        <f t="shared" si="55"/>
        <v>54</v>
      </c>
      <c r="AI57" s="16" t="str">
        <f t="shared" si="56"/>
        <v>15</v>
      </c>
      <c r="AJ57" s="16" t="str">
        <f t="shared" si="57"/>
        <v>53</v>
      </c>
      <c r="AL57" s="44" t="str">
        <f t="shared" si="12"/>
        <v>C8541553</v>
      </c>
      <c r="AM57" s="44"/>
      <c r="AN57" s="44"/>
      <c r="AO57" s="44"/>
      <c r="AU57" s="45" t="str">
        <f t="shared" si="58"/>
        <v>C8541553</v>
      </c>
      <c r="AV57" s="45"/>
      <c r="AW57" s="45"/>
      <c r="AX57" s="45"/>
      <c r="AY57" s="45">
        <f t="shared" si="59"/>
        <v>1513963385</v>
      </c>
      <c r="AZ57" s="45"/>
      <c r="BA57" s="45"/>
      <c r="BB57" s="45"/>
      <c r="BC57" s="45">
        <f t="shared" si="60"/>
        <v>467756978</v>
      </c>
      <c r="BD57" s="45"/>
      <c r="BE57" s="45"/>
      <c r="BF57" s="45"/>
      <c r="BG57" s="45">
        <f t="shared" si="61"/>
        <v>3085321687</v>
      </c>
      <c r="BH57" s="45"/>
      <c r="BI57" s="45"/>
      <c r="BJ57" s="45"/>
      <c r="BK57" s="45">
        <f t="shared" si="51"/>
        <v>3992555893</v>
      </c>
      <c r="BL57" s="45"/>
      <c r="BM57" s="45"/>
      <c r="BN57" s="45"/>
      <c r="BO57" s="45">
        <f t="shared" si="52"/>
        <v>2288603</v>
      </c>
      <c r="BP57" s="45"/>
      <c r="BQ57" s="45"/>
      <c r="BR57" s="45"/>
      <c r="BS57" s="45">
        <f t="shared" si="53"/>
        <v>3942139892</v>
      </c>
      <c r="BT57" s="45"/>
      <c r="BU57" s="45"/>
      <c r="BV57" s="45"/>
      <c r="BW57" s="56">
        <f t="shared" si="62"/>
        <v>4271726344</v>
      </c>
      <c r="BX57" s="57"/>
      <c r="BY57" s="57"/>
      <c r="BZ57" s="58"/>
      <c r="CA57" s="45">
        <f t="shared" si="54"/>
        <v>260341582</v>
      </c>
      <c r="CB57" s="45"/>
      <c r="CC57" s="45"/>
      <c r="CD57" s="45"/>
    </row>
    <row r="58" spans="2:82">
      <c r="B58" s="3" t="s">
        <v>114</v>
      </c>
      <c r="C58" s="46" t="str">
        <f t="shared" si="67"/>
        <v>92A6FE99</v>
      </c>
      <c r="D58" s="47"/>
      <c r="E58" s="47"/>
      <c r="F58" s="48"/>
      <c r="H58" s="52" t="s">
        <v>102</v>
      </c>
      <c r="I58" s="51"/>
      <c r="J58" s="46" t="str">
        <f t="shared" si="63"/>
        <v>660CA8D1</v>
      </c>
      <c r="K58" s="47"/>
      <c r="L58" s="47"/>
      <c r="M58" s="48"/>
      <c r="O58" s="52" t="s">
        <v>104</v>
      </c>
      <c r="P58" s="51"/>
      <c r="Q58" s="46" t="str">
        <f t="shared" si="64"/>
        <v>264E2F94</v>
      </c>
      <c r="R58" s="47"/>
      <c r="S58" s="47"/>
      <c r="T58" s="48"/>
      <c r="U58" s="50" t="s">
        <v>113</v>
      </c>
      <c r="V58" s="51"/>
      <c r="W58" s="46" t="str">
        <f t="shared" si="65"/>
        <v>7C23FA75</v>
      </c>
      <c r="X58" s="47"/>
      <c r="Y58" s="47"/>
      <c r="Z58" s="48"/>
      <c r="AD58" s="49" t="s">
        <v>78</v>
      </c>
      <c r="AE58" s="49"/>
      <c r="AF58" s="49"/>
      <c r="AG58" s="16" t="str">
        <f t="shared" si="66"/>
        <v>2A</v>
      </c>
      <c r="AH58" s="16" t="str">
        <f t="shared" si="55"/>
        <v>4C</v>
      </c>
      <c r="AI58" s="16" t="str">
        <f t="shared" si="56"/>
        <v>46</v>
      </c>
      <c r="AJ58" s="16" t="str">
        <f t="shared" si="57"/>
        <v>3C</v>
      </c>
      <c r="AL58" s="44" t="str">
        <f t="shared" si="12"/>
        <v>2A4C463C</v>
      </c>
      <c r="AM58" s="44"/>
      <c r="AN58" s="44"/>
      <c r="AO58" s="44"/>
      <c r="AU58" s="45" t="str">
        <f t="shared" si="58"/>
        <v>2A4C463C</v>
      </c>
      <c r="AV58" s="45"/>
      <c r="AW58" s="45"/>
      <c r="AX58" s="45"/>
      <c r="AY58" s="45">
        <f t="shared" si="59"/>
        <v>2696630968</v>
      </c>
      <c r="AZ58" s="45"/>
      <c r="BA58" s="45"/>
      <c r="BB58" s="45"/>
      <c r="BC58" s="45">
        <f t="shared" si="60"/>
        <v>2808107070</v>
      </c>
      <c r="BD58" s="45"/>
      <c r="BE58" s="45"/>
      <c r="BF58" s="45"/>
      <c r="BG58" s="45">
        <f t="shared" si="61"/>
        <v>2135738707</v>
      </c>
      <c r="BH58" s="45"/>
      <c r="BI58" s="45"/>
      <c r="BJ58" s="45"/>
      <c r="BK58" s="45">
        <f t="shared" si="51"/>
        <v>3755160148</v>
      </c>
      <c r="BL58" s="45"/>
      <c r="BM58" s="45"/>
      <c r="BN58" s="45"/>
      <c r="BO58" s="45">
        <f t="shared" si="52"/>
        <v>2402751</v>
      </c>
      <c r="BP58" s="45"/>
      <c r="BQ58" s="45"/>
      <c r="BR58" s="45"/>
      <c r="BS58" s="45">
        <f t="shared" si="53"/>
        <v>676109407</v>
      </c>
      <c r="BT58" s="45"/>
      <c r="BU58" s="45"/>
      <c r="BV58" s="45"/>
      <c r="BW58" s="56">
        <f t="shared" si="62"/>
        <v>2347043219</v>
      </c>
      <c r="BX58" s="57"/>
      <c r="BY58" s="57"/>
      <c r="BZ58" s="58"/>
      <c r="CA58" s="45">
        <f t="shared" si="54"/>
        <v>80332274</v>
      </c>
      <c r="CB58" s="45"/>
      <c r="CC58" s="45"/>
      <c r="CD58" s="45"/>
    </row>
    <row r="59" spans="2:82">
      <c r="B59" s="3" t="s">
        <v>114</v>
      </c>
      <c r="C59" s="46" t="str">
        <f t="shared" si="67"/>
        <v>C8541553</v>
      </c>
      <c r="D59" s="47"/>
      <c r="E59" s="47"/>
      <c r="F59" s="48"/>
      <c r="H59" s="52" t="s">
        <v>102</v>
      </c>
      <c r="I59" s="51"/>
      <c r="J59" s="46" t="str">
        <f t="shared" si="63"/>
        <v>B0ADE5F3</v>
      </c>
      <c r="K59" s="47"/>
      <c r="L59" s="47"/>
      <c r="M59" s="48"/>
      <c r="O59" s="52" t="s">
        <v>104</v>
      </c>
      <c r="P59" s="51"/>
      <c r="Q59" s="46" t="str">
        <f t="shared" si="64"/>
        <v>F3D6109F</v>
      </c>
      <c r="R59" s="47"/>
      <c r="S59" s="47"/>
      <c r="T59" s="48"/>
      <c r="U59" s="50" t="s">
        <v>113</v>
      </c>
      <c r="V59" s="51"/>
      <c r="W59" s="46" t="str">
        <f t="shared" si="65"/>
        <v>264E2F94</v>
      </c>
      <c r="X59" s="47"/>
      <c r="Y59" s="47"/>
      <c r="Z59" s="48"/>
      <c r="AD59" s="49" t="s">
        <v>79</v>
      </c>
      <c r="AE59" s="49"/>
      <c r="AF59" s="49"/>
      <c r="AG59" s="16" t="str">
        <f t="shared" si="66"/>
        <v>04</v>
      </c>
      <c r="AH59" s="16" t="str">
        <f t="shared" si="55"/>
        <v>E8</v>
      </c>
      <c r="AI59" s="16" t="str">
        <f t="shared" si="56"/>
        <v>30</v>
      </c>
      <c r="AJ59" s="16" t="str">
        <f t="shared" si="57"/>
        <v>73</v>
      </c>
      <c r="AL59" s="44" t="str">
        <f t="shared" si="12"/>
        <v>04E83073</v>
      </c>
      <c r="AM59" s="44"/>
      <c r="AN59" s="44"/>
      <c r="AO59" s="44"/>
      <c r="AU59" s="45" t="str">
        <f t="shared" si="58"/>
        <v>04E83073</v>
      </c>
      <c r="AV59" s="45"/>
      <c r="AW59" s="45"/>
      <c r="AX59" s="45"/>
      <c r="AY59" s="45">
        <f t="shared" si="59"/>
        <v>2284947493</v>
      </c>
      <c r="AZ59" s="45"/>
      <c r="BA59" s="45"/>
      <c r="BB59" s="45"/>
      <c r="BC59" s="45">
        <f t="shared" si="60"/>
        <v>2780467911</v>
      </c>
      <c r="BD59" s="45"/>
      <c r="BE59" s="45"/>
      <c r="BF59" s="45"/>
      <c r="BG59" s="45">
        <f t="shared" si="61"/>
        <v>178906154</v>
      </c>
      <c r="BH59" s="45"/>
      <c r="BI59" s="45"/>
      <c r="BJ59" s="45"/>
      <c r="BK59" s="45">
        <f t="shared" si="51"/>
        <v>2192210186</v>
      </c>
      <c r="BL59" s="45"/>
      <c r="BM59" s="45"/>
      <c r="BN59" s="45"/>
      <c r="BO59" s="45">
        <f t="shared" si="52"/>
        <v>3282181</v>
      </c>
      <c r="BP59" s="45"/>
      <c r="BQ59" s="45"/>
      <c r="BR59" s="45"/>
      <c r="BS59" s="45">
        <f t="shared" si="53"/>
        <v>1072147489</v>
      </c>
      <c r="BT59" s="45"/>
      <c r="BU59" s="45"/>
      <c r="BV59" s="45"/>
      <c r="BW59" s="56">
        <f t="shared" si="62"/>
        <v>2217213173</v>
      </c>
      <c r="BX59" s="57"/>
      <c r="BY59" s="57"/>
      <c r="BZ59" s="58"/>
      <c r="CA59" s="45">
        <f t="shared" si="54"/>
        <v>511361555</v>
      </c>
      <c r="CB59" s="45"/>
      <c r="CC59" s="45"/>
      <c r="CD59" s="45"/>
    </row>
    <row r="60" spans="2:82">
      <c r="B60" s="3" t="s">
        <v>114</v>
      </c>
      <c r="C60" s="46" t="str">
        <f t="shared" si="67"/>
        <v>2A4C463C</v>
      </c>
      <c r="D60" s="47"/>
      <c r="E60" s="47"/>
      <c r="F60" s="48"/>
      <c r="H60" s="52" t="s">
        <v>102</v>
      </c>
      <c r="I60" s="51"/>
      <c r="J60" s="46" t="str">
        <f t="shared" si="63"/>
        <v>D70DB0CD</v>
      </c>
      <c r="K60" s="47"/>
      <c r="L60" s="47"/>
      <c r="M60" s="48"/>
      <c r="O60" s="52" t="s">
        <v>104</v>
      </c>
      <c r="P60" s="51"/>
      <c r="Q60" s="46" t="str">
        <f t="shared" si="64"/>
        <v>0E7316D9</v>
      </c>
      <c r="R60" s="47"/>
      <c r="S60" s="47"/>
      <c r="T60" s="48"/>
      <c r="U60" s="50" t="s">
        <v>113</v>
      </c>
      <c r="V60" s="51"/>
      <c r="W60" s="46" t="str">
        <f t="shared" si="65"/>
        <v>F3D6109F</v>
      </c>
      <c r="X60" s="47"/>
      <c r="Y60" s="47"/>
      <c r="Z60" s="48"/>
      <c r="AD60" s="49" t="s">
        <v>80</v>
      </c>
      <c r="AE60" s="49"/>
      <c r="AF60" s="49"/>
      <c r="AG60" s="16" t="str">
        <f t="shared" si="66"/>
        <v>ED</v>
      </c>
      <c r="AH60" s="16" t="str">
        <f t="shared" si="55"/>
        <v>1B</v>
      </c>
      <c r="AI60" s="16" t="str">
        <f t="shared" si="56"/>
        <v>8C</v>
      </c>
      <c r="AJ60" s="16" t="str">
        <f t="shared" si="57"/>
        <v>54</v>
      </c>
      <c r="AL60" s="44" t="str">
        <f t="shared" si="12"/>
        <v>ED1B8C54</v>
      </c>
      <c r="AM60" s="44"/>
      <c r="AN60" s="44"/>
      <c r="AO60" s="44"/>
      <c r="AU60" s="45" t="str">
        <f t="shared" si="58"/>
        <v>ED1B8C54</v>
      </c>
      <c r="AV60" s="45"/>
      <c r="AW60" s="45"/>
      <c r="AX60" s="45"/>
      <c r="AY60" s="45">
        <f t="shared" si="59"/>
        <v>2882732926</v>
      </c>
      <c r="AZ60" s="45"/>
      <c r="BA60" s="45"/>
      <c r="BB60" s="45"/>
      <c r="BC60" s="45">
        <f t="shared" si="60"/>
        <v>1986316138</v>
      </c>
      <c r="BD60" s="45"/>
      <c r="BE60" s="45"/>
      <c r="BF60" s="45"/>
      <c r="BG60" s="45">
        <f t="shared" si="61"/>
        <v>589174054</v>
      </c>
      <c r="BH60" s="45"/>
      <c r="BI60" s="45"/>
      <c r="BJ60" s="45"/>
      <c r="BK60" s="45">
        <f t="shared" si="51"/>
        <v>2294777161</v>
      </c>
      <c r="BL60" s="45"/>
      <c r="BM60" s="45"/>
      <c r="BN60" s="45"/>
      <c r="BO60" s="45">
        <f t="shared" si="52"/>
        <v>693009</v>
      </c>
      <c r="BP60" s="45"/>
      <c r="BQ60" s="45"/>
      <c r="BR60" s="45"/>
      <c r="BS60" s="45">
        <f t="shared" si="53"/>
        <v>2988238381</v>
      </c>
      <c r="BT60" s="45"/>
      <c r="BU60" s="45"/>
      <c r="BV60" s="45"/>
      <c r="BW60" s="56">
        <f t="shared" si="62"/>
        <v>3317056412</v>
      </c>
      <c r="BX60" s="57"/>
      <c r="BY60" s="57"/>
      <c r="BZ60" s="58"/>
      <c r="CA60" s="45">
        <f t="shared" si="54"/>
        <v>30302939</v>
      </c>
      <c r="CB60" s="45"/>
      <c r="CC60" s="45"/>
      <c r="CD60" s="45"/>
    </row>
    <row r="61" spans="2:82">
      <c r="B61" s="3" t="s">
        <v>114</v>
      </c>
      <c r="C61" s="46" t="str">
        <f t="shared" si="67"/>
        <v>04E83073</v>
      </c>
      <c r="D61" s="47"/>
      <c r="E61" s="47"/>
      <c r="F61" s="48"/>
      <c r="H61" s="52" t="s">
        <v>102</v>
      </c>
      <c r="I61" s="51"/>
      <c r="J61" s="46" t="str">
        <f t="shared" si="63"/>
        <v>27CB75E3</v>
      </c>
      <c r="K61" s="47"/>
      <c r="L61" s="47"/>
      <c r="M61" s="48"/>
      <c r="O61" s="52" t="s">
        <v>104</v>
      </c>
      <c r="P61" s="51"/>
      <c r="Q61" s="46" t="str">
        <f t="shared" si="64"/>
        <v>BFF9F819</v>
      </c>
      <c r="R61" s="47"/>
      <c r="S61" s="47"/>
      <c r="T61" s="48"/>
      <c r="U61" s="50" t="s">
        <v>113</v>
      </c>
      <c r="V61" s="51"/>
      <c r="W61" s="46" t="str">
        <f t="shared" si="65"/>
        <v>0E7316D9</v>
      </c>
      <c r="X61" s="47"/>
      <c r="Y61" s="47"/>
      <c r="Z61" s="48"/>
      <c r="AD61" s="49" t="s">
        <v>81</v>
      </c>
      <c r="AE61" s="49"/>
      <c r="AF61" s="49"/>
      <c r="AG61" s="16" t="str">
        <f t="shared" si="66"/>
        <v>AE</v>
      </c>
      <c r="AH61" s="16" t="str">
        <f t="shared" si="55"/>
        <v>FC</v>
      </c>
      <c r="AI61" s="16" t="str">
        <f t="shared" si="56"/>
        <v>08</v>
      </c>
      <c r="AJ61" s="16" t="str">
        <f t="shared" si="57"/>
        <v>AE</v>
      </c>
      <c r="AL61" s="44" t="str">
        <f t="shared" si="12"/>
        <v>AEFC08AE</v>
      </c>
      <c r="AM61" s="44"/>
      <c r="AN61" s="44"/>
      <c r="AO61" s="44"/>
      <c r="AU61" s="45" t="str">
        <f t="shared" si="58"/>
        <v>AEFC08AE</v>
      </c>
      <c r="AV61" s="45"/>
      <c r="AW61" s="45"/>
      <c r="AX61" s="45"/>
      <c r="AY61" s="45">
        <f t="shared" si="59"/>
        <v>506910949</v>
      </c>
      <c r="AZ61" s="45"/>
      <c r="BA61" s="45"/>
      <c r="BB61" s="45"/>
      <c r="BC61" s="45">
        <f t="shared" si="60"/>
        <v>1518773005</v>
      </c>
      <c r="BD61" s="45"/>
      <c r="BE61" s="45"/>
      <c r="BF61" s="45"/>
      <c r="BG61" s="45">
        <f t="shared" si="61"/>
        <v>406422132</v>
      </c>
      <c r="BH61" s="45"/>
      <c r="BI61" s="45"/>
      <c r="BJ61" s="45"/>
      <c r="BK61" s="45">
        <f t="shared" si="51"/>
        <v>101605533</v>
      </c>
      <c r="BL61" s="45"/>
      <c r="BM61" s="45"/>
      <c r="BN61" s="45"/>
      <c r="BO61" s="45">
        <f t="shared" si="52"/>
        <v>80396</v>
      </c>
      <c r="BP61" s="45"/>
      <c r="BQ61" s="45"/>
      <c r="BR61" s="45"/>
      <c r="BS61" s="45">
        <f t="shared" si="53"/>
        <v>864023536</v>
      </c>
      <c r="BT61" s="45"/>
      <c r="BU61" s="45"/>
      <c r="BV61" s="45"/>
      <c r="BW61" s="56">
        <f t="shared" si="62"/>
        <v>2114351102</v>
      </c>
      <c r="BX61" s="57"/>
      <c r="BY61" s="57"/>
      <c r="BZ61" s="58"/>
      <c r="CA61" s="45">
        <f t="shared" si="54"/>
        <v>402603779</v>
      </c>
      <c r="CB61" s="45"/>
      <c r="CC61" s="45"/>
      <c r="CD61" s="45"/>
    </row>
    <row r="62" spans="2:82">
      <c r="B62" s="3" t="s">
        <v>114</v>
      </c>
      <c r="C62" s="46" t="str">
        <f t="shared" si="67"/>
        <v>ED1B8C54</v>
      </c>
      <c r="D62" s="47"/>
      <c r="E62" s="47"/>
      <c r="F62" s="48"/>
      <c r="H62" s="52" t="s">
        <v>102</v>
      </c>
      <c r="I62" s="51"/>
      <c r="J62" s="46" t="str">
        <f t="shared" si="63"/>
        <v>8BAF6FCC</v>
      </c>
      <c r="K62" s="47"/>
      <c r="L62" s="47"/>
      <c r="M62" s="48"/>
      <c r="O62" s="52" t="s">
        <v>104</v>
      </c>
      <c r="P62" s="51"/>
      <c r="Q62" s="46" t="str">
        <f t="shared" si="64"/>
        <v>59C81740</v>
      </c>
      <c r="R62" s="47"/>
      <c r="S62" s="47"/>
      <c r="T62" s="48"/>
      <c r="U62" s="50" t="s">
        <v>113</v>
      </c>
      <c r="V62" s="51"/>
      <c r="W62" s="46" t="str">
        <f t="shared" si="65"/>
        <v>BFF9F819</v>
      </c>
      <c r="X62" s="47"/>
      <c r="Y62" s="47"/>
      <c r="Z62" s="48"/>
      <c r="AD62" s="49" t="s">
        <v>82</v>
      </c>
      <c r="AE62" s="49"/>
      <c r="AF62" s="49"/>
      <c r="AG62" s="16" t="str">
        <f t="shared" si="66"/>
        <v>91</v>
      </c>
      <c r="AH62" s="16" t="str">
        <f t="shared" si="55"/>
        <v>9F</v>
      </c>
      <c r="AI62" s="16" t="str">
        <f t="shared" si="56"/>
        <v>9A</v>
      </c>
      <c r="AJ62" s="16" t="str">
        <f t="shared" si="57"/>
        <v>66</v>
      </c>
      <c r="AL62" s="44" t="str">
        <f t="shared" si="12"/>
        <v>919F9A66</v>
      </c>
      <c r="AM62" s="44"/>
      <c r="AN62" s="44"/>
      <c r="AO62" s="44"/>
      <c r="AU62" s="45" t="str">
        <f t="shared" si="58"/>
        <v>919F9A66</v>
      </c>
      <c r="AV62" s="45"/>
      <c r="AW62" s="45"/>
      <c r="AX62" s="45"/>
      <c r="AY62" s="45">
        <f t="shared" si="59"/>
        <v>3080433101</v>
      </c>
      <c r="AZ62" s="45"/>
      <c r="BA62" s="45"/>
      <c r="BB62" s="45"/>
      <c r="BC62" s="45">
        <f t="shared" si="60"/>
        <v>2388296884</v>
      </c>
      <c r="BD62" s="45"/>
      <c r="BE62" s="45"/>
      <c r="BF62" s="45"/>
      <c r="BG62" s="45">
        <f t="shared" si="61"/>
        <v>3324671629</v>
      </c>
      <c r="BH62" s="45"/>
      <c r="BI62" s="45"/>
      <c r="BJ62" s="45"/>
      <c r="BK62" s="45">
        <f t="shared" si="51"/>
        <v>1904909731</v>
      </c>
      <c r="BL62" s="45"/>
      <c r="BM62" s="45"/>
      <c r="BN62" s="45"/>
      <c r="BO62" s="45">
        <f t="shared" si="52"/>
        <v>3884771</v>
      </c>
      <c r="BP62" s="45"/>
      <c r="BQ62" s="45"/>
      <c r="BR62" s="45"/>
      <c r="BS62" s="45">
        <f t="shared" si="53"/>
        <v>2159251502</v>
      </c>
      <c r="BT62" s="45"/>
      <c r="BU62" s="45"/>
      <c r="BV62" s="45"/>
      <c r="BW62" s="56">
        <f t="shared" si="62"/>
        <v>97523314</v>
      </c>
      <c r="BX62" s="57"/>
      <c r="BY62" s="57"/>
      <c r="BZ62" s="58"/>
      <c r="CA62" s="45">
        <f t="shared" si="54"/>
        <v>188285672</v>
      </c>
      <c r="CB62" s="45"/>
      <c r="CC62" s="45"/>
      <c r="CD62" s="45"/>
    </row>
    <row r="63" spans="2:82">
      <c r="B63" s="3" t="s">
        <v>114</v>
      </c>
      <c r="C63" s="46" t="str">
        <f t="shared" si="67"/>
        <v>AEFC08AE</v>
      </c>
      <c r="D63" s="47"/>
      <c r="E63" s="47"/>
      <c r="F63" s="48"/>
      <c r="H63" s="52" t="s">
        <v>102</v>
      </c>
      <c r="I63" s="51"/>
      <c r="J63" s="46" t="str">
        <f t="shared" si="63"/>
        <v>92A6FE99</v>
      </c>
      <c r="K63" s="47"/>
      <c r="L63" s="47"/>
      <c r="M63" s="48"/>
      <c r="O63" s="52" t="s">
        <v>104</v>
      </c>
      <c r="P63" s="51"/>
      <c r="Q63" s="46" t="str">
        <f t="shared" si="64"/>
        <v>DF30B63C</v>
      </c>
      <c r="R63" s="47"/>
      <c r="S63" s="47"/>
      <c r="T63" s="48"/>
      <c r="U63" s="50" t="s">
        <v>113</v>
      </c>
      <c r="V63" s="51"/>
      <c r="W63" s="46" t="str">
        <f t="shared" si="65"/>
        <v>59C81740</v>
      </c>
      <c r="X63" s="47"/>
      <c r="Y63" s="47"/>
      <c r="Z63" s="48"/>
      <c r="AD63" s="49" t="s">
        <v>83</v>
      </c>
      <c r="AE63" s="49"/>
      <c r="AF63" s="49"/>
      <c r="AG63" s="16" t="str">
        <f t="shared" si="66"/>
        <v>C1</v>
      </c>
      <c r="AH63" s="16" t="str">
        <f t="shared" si="55"/>
        <v>AF</v>
      </c>
      <c r="AI63" s="16" t="str">
        <f t="shared" si="56"/>
        <v>93</v>
      </c>
      <c r="AJ63" s="16" t="str">
        <f t="shared" si="57"/>
        <v>E3</v>
      </c>
      <c r="AL63" s="44" t="str">
        <f t="shared" si="12"/>
        <v>C1AF93E3</v>
      </c>
      <c r="AM63" s="44"/>
      <c r="AN63" s="44"/>
      <c r="AO63" s="44"/>
      <c r="AU63" s="45" t="str">
        <f t="shared" si="58"/>
        <v>C1AF93E3</v>
      </c>
      <c r="AV63" s="45"/>
      <c r="AW63" s="45"/>
      <c r="AX63" s="45"/>
      <c r="AY63" s="45">
        <f t="shared" si="59"/>
        <v>2238266787</v>
      </c>
      <c r="AZ63" s="45"/>
      <c r="BA63" s="45"/>
      <c r="BB63" s="45"/>
      <c r="BC63" s="45">
        <f t="shared" si="60"/>
        <v>1339506791</v>
      </c>
      <c r="BD63" s="45"/>
      <c r="BE63" s="45"/>
      <c r="BF63" s="45"/>
      <c r="BG63" s="45">
        <f t="shared" si="61"/>
        <v>72832894</v>
      </c>
      <c r="BH63" s="45"/>
      <c r="BI63" s="45"/>
      <c r="BJ63" s="45"/>
      <c r="BK63" s="45">
        <f t="shared" si="51"/>
        <v>2165691871</v>
      </c>
      <c r="BL63" s="45"/>
      <c r="BM63" s="45"/>
      <c r="BN63" s="45"/>
      <c r="BO63" s="45">
        <f t="shared" si="52"/>
        <v>2866946</v>
      </c>
      <c r="BP63" s="45"/>
      <c r="BQ63" s="45"/>
      <c r="BR63" s="45"/>
      <c r="BS63" s="45">
        <f t="shared" si="53"/>
        <v>2042519916</v>
      </c>
      <c r="BT63" s="45"/>
      <c r="BU63" s="45"/>
      <c r="BV63" s="45"/>
      <c r="BW63" s="56">
        <f t="shared" si="62"/>
        <v>764360652</v>
      </c>
      <c r="BX63" s="57"/>
      <c r="BY63" s="57"/>
      <c r="BZ63" s="58"/>
      <c r="CA63" s="45">
        <f t="shared" si="54"/>
        <v>468063943</v>
      </c>
      <c r="CB63" s="45"/>
      <c r="CC63" s="45"/>
      <c r="CD63" s="45"/>
    </row>
    <row r="64" spans="2:82">
      <c r="B64" s="3" t="s">
        <v>114</v>
      </c>
      <c r="C64" s="46" t="str">
        <f t="shared" si="67"/>
        <v>919F9A66</v>
      </c>
      <c r="D64" s="47"/>
      <c r="E64" s="47"/>
      <c r="F64" s="48"/>
      <c r="H64" s="52" t="s">
        <v>102</v>
      </c>
      <c r="I64" s="51"/>
      <c r="J64" s="46" t="str">
        <f t="shared" si="63"/>
        <v>C8541553</v>
      </c>
      <c r="K64" s="47"/>
      <c r="L64" s="47"/>
      <c r="M64" s="48"/>
      <c r="O64" s="52" t="s">
        <v>104</v>
      </c>
      <c r="P64" s="51"/>
      <c r="Q64" s="46" t="str">
        <f t="shared" si="64"/>
        <v>669FD0B9</v>
      </c>
      <c r="R64" s="47"/>
      <c r="S64" s="47"/>
      <c r="T64" s="48"/>
      <c r="U64" s="50" t="s">
        <v>113</v>
      </c>
      <c r="V64" s="51"/>
      <c r="W64" s="46" t="str">
        <f t="shared" si="65"/>
        <v>DF30B63C</v>
      </c>
      <c r="X64" s="47"/>
      <c r="Y64" s="47"/>
      <c r="Z64" s="48"/>
      <c r="AD64" s="49" t="s">
        <v>84</v>
      </c>
      <c r="AE64" s="49"/>
      <c r="AF64" s="49"/>
      <c r="AG64" s="16" t="str">
        <f t="shared" si="66"/>
        <v>70</v>
      </c>
      <c r="AH64" s="16" t="str">
        <f t="shared" si="55"/>
        <v>11</v>
      </c>
      <c r="AI64" s="16" t="str">
        <f t="shared" si="56"/>
        <v>64</v>
      </c>
      <c r="AJ64" s="16" t="str">
        <f t="shared" si="57"/>
        <v>BA</v>
      </c>
      <c r="AL64" s="44" t="str">
        <f t="shared" si="12"/>
        <v>701164BA</v>
      </c>
      <c r="AM64" s="44"/>
      <c r="AN64" s="44"/>
      <c r="AO64" s="44"/>
      <c r="AU64" s="45" t="str">
        <f t="shared" si="58"/>
        <v>701164BA</v>
      </c>
      <c r="AV64" s="45"/>
      <c r="AW64" s="45"/>
      <c r="AX64" s="45"/>
      <c r="AY64" s="45">
        <f t="shared" si="59"/>
        <v>1046215962</v>
      </c>
      <c r="AZ64" s="45"/>
      <c r="BA64" s="45"/>
      <c r="BB64" s="45"/>
      <c r="BC64" s="45">
        <f t="shared" si="60"/>
        <v>2318441489</v>
      </c>
      <c r="BD64" s="45"/>
      <c r="BE64" s="45"/>
      <c r="BF64" s="45"/>
      <c r="BG64" s="45">
        <f t="shared" si="61"/>
        <v>3442690255</v>
      </c>
      <c r="BH64" s="45"/>
      <c r="BI64" s="45"/>
      <c r="BJ64" s="45"/>
      <c r="BK64" s="45">
        <f t="shared" si="51"/>
        <v>4081898035</v>
      </c>
      <c r="BL64" s="45"/>
      <c r="BM64" s="45"/>
      <c r="BN64" s="45"/>
      <c r="BO64" s="45">
        <f t="shared" si="52"/>
        <v>2385894</v>
      </c>
      <c r="BP64" s="45"/>
      <c r="BQ64" s="45"/>
      <c r="BR64" s="45"/>
      <c r="BS64" s="45">
        <f t="shared" si="53"/>
        <v>1926053793</v>
      </c>
      <c r="BT64" s="45"/>
      <c r="BU64" s="45"/>
      <c r="BV64" s="45"/>
      <c r="BW64" s="56">
        <f t="shared" si="62"/>
        <v>4096678311</v>
      </c>
      <c r="BX64" s="57"/>
      <c r="BY64" s="57"/>
      <c r="BZ64" s="58"/>
      <c r="CA64" s="45">
        <f t="shared" si="54"/>
        <v>215218711</v>
      </c>
      <c r="CB64" s="45"/>
      <c r="CC64" s="45"/>
      <c r="CD64" s="45"/>
    </row>
    <row r="65" spans="2:82">
      <c r="B65" s="3" t="s">
        <v>114</v>
      </c>
      <c r="C65" s="46" t="str">
        <f t="shared" si="67"/>
        <v>C1AF93E3</v>
      </c>
      <c r="D65" s="47"/>
      <c r="E65" s="47"/>
      <c r="F65" s="48"/>
      <c r="H65" s="52" t="s">
        <v>102</v>
      </c>
      <c r="I65" s="51"/>
      <c r="J65" s="46" t="str">
        <f t="shared" si="63"/>
        <v>2A4C463C</v>
      </c>
      <c r="K65" s="47"/>
      <c r="L65" s="47"/>
      <c r="M65" s="48"/>
      <c r="O65" s="52" t="s">
        <v>104</v>
      </c>
      <c r="P65" s="51"/>
      <c r="Q65" s="46" t="str">
        <f t="shared" si="64"/>
        <v>FF0C4497</v>
      </c>
      <c r="R65" s="47"/>
      <c r="S65" s="47"/>
      <c r="T65" s="48"/>
      <c r="U65" s="50" t="s">
        <v>113</v>
      </c>
      <c r="V65" s="51"/>
      <c r="W65" s="46" t="str">
        <f t="shared" si="65"/>
        <v>669FD0B9</v>
      </c>
      <c r="X65" s="47"/>
      <c r="Y65" s="47"/>
      <c r="Z65" s="48"/>
      <c r="AD65" s="49" t="s">
        <v>85</v>
      </c>
      <c r="AE65" s="49"/>
      <c r="AF65" s="49"/>
      <c r="AG65" s="16" t="str">
        <f t="shared" si="66"/>
        <v>ED</v>
      </c>
      <c r="AH65" s="16" t="str">
        <f t="shared" si="55"/>
        <v>E4</v>
      </c>
      <c r="AI65" s="16" t="str">
        <f t="shared" si="56"/>
        <v>79</v>
      </c>
      <c r="AJ65" s="16" t="str">
        <f t="shared" si="57"/>
        <v>D3</v>
      </c>
      <c r="AL65" s="44" t="str">
        <f t="shared" si="12"/>
        <v>EDE479D3</v>
      </c>
      <c r="AM65" s="44"/>
      <c r="AN65" s="44"/>
      <c r="AO65" s="44"/>
      <c r="AU65" s="45" t="str">
        <f t="shared" si="58"/>
        <v>EDE479D3</v>
      </c>
      <c r="AV65" s="45"/>
      <c r="AW65" s="45"/>
      <c r="AX65" s="45"/>
      <c r="AY65" s="45">
        <f t="shared" si="59"/>
        <v>1002304262</v>
      </c>
      <c r="AZ65" s="45"/>
      <c r="BA65" s="45"/>
      <c r="BB65" s="45"/>
      <c r="BC65" s="45">
        <f t="shared" si="60"/>
        <v>557477848</v>
      </c>
      <c r="BD65" s="45"/>
      <c r="BE65" s="45"/>
      <c r="BF65" s="45"/>
      <c r="BG65" s="45">
        <f t="shared" si="61"/>
        <v>3388072151</v>
      </c>
      <c r="BH65" s="45"/>
      <c r="BI65" s="45"/>
      <c r="BJ65" s="45"/>
      <c r="BK65" s="45">
        <f t="shared" si="51"/>
        <v>4068243509</v>
      </c>
      <c r="BL65" s="45"/>
      <c r="BM65" s="45"/>
      <c r="BN65" s="45"/>
      <c r="BO65" s="45">
        <f t="shared" si="52"/>
        <v>3173348</v>
      </c>
      <c r="BP65" s="45"/>
      <c r="BQ65" s="45"/>
      <c r="BR65" s="45"/>
      <c r="BS65" s="45">
        <f t="shared" si="53"/>
        <v>805181577</v>
      </c>
      <c r="BT65" s="45"/>
      <c r="BU65" s="45"/>
      <c r="BV65" s="45"/>
      <c r="BW65" s="56">
        <f t="shared" si="62"/>
        <v>287702979</v>
      </c>
      <c r="BX65" s="57"/>
      <c r="BY65" s="57"/>
      <c r="BZ65" s="58"/>
      <c r="CA65" s="45">
        <f t="shared" si="54"/>
        <v>534874258</v>
      </c>
      <c r="CB65" s="45"/>
      <c r="CC65" s="45"/>
      <c r="CD65" s="45"/>
    </row>
    <row r="66" spans="2:82">
      <c r="B66" s="3" t="s">
        <v>114</v>
      </c>
      <c r="C66" s="46" t="str">
        <f t="shared" si="67"/>
        <v>701164BA</v>
      </c>
      <c r="D66" s="47"/>
      <c r="E66" s="47"/>
      <c r="F66" s="48"/>
      <c r="H66" s="52" t="s">
        <v>102</v>
      </c>
      <c r="I66" s="51"/>
      <c r="J66" s="46" t="str">
        <f t="shared" si="63"/>
        <v>04E83073</v>
      </c>
      <c r="K66" s="47"/>
      <c r="L66" s="47"/>
      <c r="M66" s="48"/>
      <c r="O66" s="52" t="s">
        <v>104</v>
      </c>
      <c r="P66" s="51"/>
      <c r="Q66" s="46" t="str">
        <f t="shared" si="64"/>
        <v>660CA8D1</v>
      </c>
      <c r="R66" s="47"/>
      <c r="S66" s="47"/>
      <c r="T66" s="48"/>
      <c r="U66" s="50" t="s">
        <v>113</v>
      </c>
      <c r="V66" s="51"/>
      <c r="W66" s="46" t="str">
        <f t="shared" si="65"/>
        <v>FF0C4497</v>
      </c>
      <c r="X66" s="47"/>
      <c r="Y66" s="47"/>
      <c r="Z66" s="48"/>
      <c r="AD66" s="49" t="s">
        <v>86</v>
      </c>
      <c r="AE66" s="49"/>
      <c r="AF66" s="49"/>
      <c r="AG66" s="16" t="str">
        <f t="shared" si="66"/>
        <v>27</v>
      </c>
      <c r="AH66" s="16" t="str">
        <f t="shared" si="55"/>
        <v>04</v>
      </c>
      <c r="AI66" s="16" t="str">
        <f t="shared" si="56"/>
        <v>BD</v>
      </c>
      <c r="AJ66" s="16" t="str">
        <f t="shared" si="57"/>
        <v>25</v>
      </c>
      <c r="AL66" s="44" t="str">
        <f t="shared" si="12"/>
        <v>2704BD25</v>
      </c>
      <c r="AM66" s="44"/>
      <c r="AN66" s="44"/>
      <c r="AO66" s="44"/>
      <c r="AU66" s="45" t="str">
        <f t="shared" si="58"/>
        <v>2704BD25</v>
      </c>
      <c r="AV66" s="45"/>
      <c r="AW66" s="45"/>
      <c r="AX66" s="45"/>
      <c r="AY66" s="45">
        <f t="shared" si="59"/>
        <v>2664854099</v>
      </c>
      <c r="AZ66" s="45"/>
      <c r="BA66" s="45"/>
      <c r="BB66" s="45"/>
      <c r="BC66" s="45">
        <f t="shared" si="60"/>
        <v>2218382792</v>
      </c>
      <c r="BD66" s="45"/>
      <c r="BE66" s="45"/>
      <c r="BF66" s="45"/>
      <c r="BG66" s="45">
        <f t="shared" si="61"/>
        <v>2992453640</v>
      </c>
      <c r="BH66" s="45"/>
      <c r="BI66" s="45"/>
      <c r="BJ66" s="45"/>
      <c r="BK66" s="45">
        <f t="shared" si="51"/>
        <v>748113410</v>
      </c>
      <c r="BL66" s="45"/>
      <c r="BM66" s="45"/>
      <c r="BN66" s="45"/>
      <c r="BO66" s="45">
        <f t="shared" si="52"/>
        <v>1836121</v>
      </c>
      <c r="BP66" s="45"/>
      <c r="BQ66" s="45"/>
      <c r="BR66" s="45"/>
      <c r="BS66" s="45">
        <f t="shared" si="53"/>
        <v>2731284817</v>
      </c>
      <c r="BT66" s="45"/>
      <c r="BU66" s="45"/>
      <c r="BV66" s="45"/>
      <c r="BW66" s="56">
        <f t="shared" si="62"/>
        <v>708073859</v>
      </c>
      <c r="BX66" s="57"/>
      <c r="BY66" s="57"/>
      <c r="BZ66" s="58"/>
      <c r="CA66" s="45">
        <f t="shared" si="54"/>
        <v>214013210</v>
      </c>
      <c r="CB66" s="45"/>
      <c r="CC66" s="45"/>
      <c r="CD66" s="45"/>
    </row>
    <row r="67" spans="2:82">
      <c r="B67" s="3" t="s">
        <v>114</v>
      </c>
      <c r="C67" s="46" t="str">
        <f t="shared" si="67"/>
        <v>EDE479D3</v>
      </c>
      <c r="D67" s="47"/>
      <c r="E67" s="47"/>
      <c r="F67" s="48"/>
      <c r="H67" s="52" t="s">
        <v>102</v>
      </c>
      <c r="I67" s="51"/>
      <c r="J67" s="46" t="str">
        <f t="shared" si="63"/>
        <v>ED1B8C54</v>
      </c>
      <c r="K67" s="47"/>
      <c r="L67" s="47"/>
      <c r="M67" s="48"/>
      <c r="O67" s="52" t="s">
        <v>104</v>
      </c>
      <c r="P67" s="51"/>
      <c r="Q67" s="46" t="str">
        <f t="shared" si="64"/>
        <v>B0ADE5F3</v>
      </c>
      <c r="R67" s="47"/>
      <c r="S67" s="47"/>
      <c r="T67" s="48"/>
      <c r="U67" s="50" t="s">
        <v>113</v>
      </c>
      <c r="V67" s="51"/>
      <c r="W67" s="46" t="str">
        <f t="shared" si="65"/>
        <v>660CA8D1</v>
      </c>
      <c r="X67" s="47"/>
      <c r="Y67" s="47"/>
      <c r="Z67" s="48"/>
      <c r="AD67" s="49" t="s">
        <v>87</v>
      </c>
      <c r="AE67" s="49"/>
      <c r="AF67" s="49"/>
      <c r="AG67" s="16" t="str">
        <f t="shared" si="66"/>
        <v>8F</v>
      </c>
      <c r="AH67" s="16" t="str">
        <f t="shared" si="55"/>
        <v>19</v>
      </c>
      <c r="AI67" s="16" t="str">
        <f t="shared" si="56"/>
        <v>32</v>
      </c>
      <c r="AJ67" s="16" t="str">
        <f t="shared" si="57"/>
        <v>D3</v>
      </c>
      <c r="AL67" s="44" t="str">
        <f t="shared" si="12"/>
        <v>8F1932D3</v>
      </c>
      <c r="AM67" s="44"/>
      <c r="AN67" s="44"/>
      <c r="AO67" s="44"/>
      <c r="AU67" s="45" t="str">
        <f t="shared" si="58"/>
        <v>8F1932D3</v>
      </c>
      <c r="AV67" s="45"/>
      <c r="AW67" s="45"/>
      <c r="AX67" s="45"/>
      <c r="AY67" s="45">
        <f t="shared" si="59"/>
        <v>3018388048</v>
      </c>
      <c r="AZ67" s="45"/>
      <c r="BA67" s="45"/>
      <c r="BB67" s="45"/>
      <c r="BC67" s="45">
        <f t="shared" si="60"/>
        <v>2282228574</v>
      </c>
      <c r="BD67" s="45"/>
      <c r="BE67" s="45"/>
      <c r="BF67" s="45"/>
      <c r="BG67" s="45">
        <f t="shared" si="61"/>
        <v>1021966066</v>
      </c>
      <c r="BH67" s="45"/>
      <c r="BI67" s="45"/>
      <c r="BJ67" s="45"/>
      <c r="BK67" s="45">
        <f t="shared" si="51"/>
        <v>2402975164</v>
      </c>
      <c r="BL67" s="45"/>
      <c r="BM67" s="45"/>
      <c r="BN67" s="45"/>
      <c r="BO67" s="45">
        <f t="shared" si="52"/>
        <v>3897630</v>
      </c>
      <c r="BP67" s="45"/>
      <c r="BQ67" s="45"/>
      <c r="BR67" s="45"/>
      <c r="BS67" s="45">
        <f t="shared" si="53"/>
        <v>3881917387</v>
      </c>
      <c r="BT67" s="45"/>
      <c r="BU67" s="45"/>
      <c r="BV67" s="45"/>
      <c r="BW67" s="56">
        <f t="shared" si="62"/>
        <v>2038230059</v>
      </c>
      <c r="BX67" s="57"/>
      <c r="BY67" s="57"/>
      <c r="BZ67" s="58"/>
      <c r="CA67" s="45">
        <f t="shared" si="54"/>
        <v>370523326</v>
      </c>
      <c r="CB67" s="45"/>
      <c r="CC67" s="45"/>
      <c r="CD67" s="45"/>
    </row>
    <row r="68" spans="2:82">
      <c r="B68" s="3" t="s">
        <v>114</v>
      </c>
      <c r="C68" s="46" t="str">
        <f t="shared" si="67"/>
        <v>2704BD25</v>
      </c>
      <c r="D68" s="47"/>
      <c r="E68" s="47"/>
      <c r="F68" s="48"/>
      <c r="H68" s="52" t="s">
        <v>102</v>
      </c>
      <c r="I68" s="51"/>
      <c r="J68" s="46" t="str">
        <f t="shared" si="63"/>
        <v>AEFC08AE</v>
      </c>
      <c r="K68" s="47"/>
      <c r="L68" s="47"/>
      <c r="M68" s="48"/>
      <c r="O68" s="52" t="s">
        <v>104</v>
      </c>
      <c r="P68" s="51"/>
      <c r="Q68" s="46" t="str">
        <f t="shared" si="64"/>
        <v>D70DB0CD</v>
      </c>
      <c r="R68" s="47"/>
      <c r="S68" s="47"/>
      <c r="T68" s="48"/>
      <c r="U68" s="50" t="s">
        <v>113</v>
      </c>
      <c r="V68" s="51"/>
      <c r="W68" s="46" t="str">
        <f t="shared" si="65"/>
        <v>B0ADE5F3</v>
      </c>
      <c r="X68" s="47"/>
      <c r="Y68" s="47"/>
      <c r="Z68" s="48"/>
      <c r="AD68" s="49" t="s">
        <v>88</v>
      </c>
      <c r="AE68" s="49"/>
      <c r="AF68" s="49"/>
      <c r="AG68" s="16" t="str">
        <f t="shared" si="66"/>
        <v>16</v>
      </c>
      <c r="AH68" s="16" t="str">
        <f t="shared" si="55"/>
        <v>66</v>
      </c>
      <c r="AI68" s="16" t="str">
        <f t="shared" si="56"/>
        <v>BD</v>
      </c>
      <c r="AJ68" s="16" t="str">
        <f t="shared" si="57"/>
        <v>A9</v>
      </c>
      <c r="AL68" s="44" t="str">
        <f t="shared" si="12"/>
        <v>1666BDA9</v>
      </c>
      <c r="AM68" s="44"/>
      <c r="AN68" s="44"/>
      <c r="AO68" s="44"/>
      <c r="AU68" s="45" t="str">
        <f t="shared" si="58"/>
        <v>1666BDA9</v>
      </c>
      <c r="AV68" s="45"/>
      <c r="AW68" s="45"/>
      <c r="AX68" s="45"/>
      <c r="AY68" s="45">
        <f t="shared" si="59"/>
        <v>3376412237</v>
      </c>
      <c r="AZ68" s="45"/>
      <c r="BA68" s="45"/>
      <c r="BB68" s="45"/>
      <c r="BC68" s="45">
        <f t="shared" si="60"/>
        <v>3984382139</v>
      </c>
      <c r="BD68" s="45"/>
      <c r="BE68" s="45"/>
      <c r="BF68" s="45"/>
      <c r="BG68" s="45">
        <f t="shared" si="61"/>
        <v>1586664322</v>
      </c>
      <c r="BH68" s="45"/>
      <c r="BI68" s="45"/>
      <c r="BJ68" s="45"/>
      <c r="BK68" s="45">
        <f t="shared" si="51"/>
        <v>2544149728</v>
      </c>
      <c r="BL68" s="45"/>
      <c r="BM68" s="45"/>
      <c r="BN68" s="45"/>
      <c r="BO68" s="45">
        <f t="shared" si="52"/>
        <v>639279</v>
      </c>
      <c r="BP68" s="45"/>
      <c r="BQ68" s="45"/>
      <c r="BR68" s="45"/>
      <c r="BS68" s="45">
        <f t="shared" si="53"/>
        <v>2611878753</v>
      </c>
      <c r="BT68" s="45"/>
      <c r="BU68" s="45"/>
      <c r="BV68" s="45"/>
      <c r="BW68" s="56">
        <f t="shared" si="62"/>
        <v>1815311811</v>
      </c>
      <c r="BX68" s="57"/>
      <c r="BY68" s="57"/>
      <c r="BZ68" s="58"/>
      <c r="CA68" s="45">
        <f t="shared" si="54"/>
        <v>450999833</v>
      </c>
      <c r="CB68" s="45"/>
      <c r="CC68" s="45"/>
      <c r="CD68" s="45"/>
    </row>
    <row r="69" spans="2:82">
      <c r="B69" s="3" t="s">
        <v>114</v>
      </c>
      <c r="C69" s="46" t="str">
        <f t="shared" si="67"/>
        <v>8F1932D3</v>
      </c>
      <c r="D69" s="47"/>
      <c r="E69" s="47"/>
      <c r="F69" s="48"/>
      <c r="H69" s="52" t="s">
        <v>102</v>
      </c>
      <c r="I69" s="51"/>
      <c r="J69" s="46" t="str">
        <f t="shared" si="63"/>
        <v>919F9A66</v>
      </c>
      <c r="K69" s="47"/>
      <c r="L69" s="47"/>
      <c r="M69" s="48"/>
      <c r="O69" s="52" t="s">
        <v>104</v>
      </c>
      <c r="P69" s="51"/>
      <c r="Q69" s="46" t="str">
        <f t="shared" si="64"/>
        <v>27CB75E3</v>
      </c>
      <c r="R69" s="47"/>
      <c r="S69" s="47"/>
      <c r="T69" s="48"/>
      <c r="U69" s="50" t="s">
        <v>113</v>
      </c>
      <c r="V69" s="51"/>
      <c r="W69" s="46" t="str">
        <f t="shared" si="65"/>
        <v>D70DB0CD</v>
      </c>
      <c r="X69" s="47"/>
      <c r="Y69" s="47"/>
      <c r="Z69" s="48"/>
      <c r="AD69" s="49" t="s">
        <v>89</v>
      </c>
      <c r="AE69" s="49"/>
      <c r="AF69" s="49"/>
      <c r="AG69" s="16" t="str">
        <f t="shared" si="66"/>
        <v>47</v>
      </c>
      <c r="AH69" s="16" t="str">
        <f t="shared" si="55"/>
        <v>8B</v>
      </c>
      <c r="AI69" s="16" t="str">
        <f t="shared" si="56"/>
        <v>EC</v>
      </c>
      <c r="AJ69" s="16" t="str">
        <f t="shared" si="57"/>
        <v>FB</v>
      </c>
      <c r="AL69" s="44" t="str">
        <f t="shared" si="12"/>
        <v>478BECFB</v>
      </c>
      <c r="AM69" s="44"/>
      <c r="AN69" s="44"/>
      <c r="AO69" s="44"/>
      <c r="AU69" s="45" t="str">
        <f t="shared" si="58"/>
        <v>478BECFB</v>
      </c>
      <c r="AV69" s="45"/>
      <c r="AW69" s="45"/>
      <c r="AX69" s="45"/>
      <c r="AY69" s="45">
        <f t="shared" si="59"/>
        <v>3205525539</v>
      </c>
      <c r="AZ69" s="45"/>
      <c r="BA69" s="45"/>
      <c r="BB69" s="45"/>
      <c r="BC69" s="45">
        <f t="shared" si="60"/>
        <v>533606821</v>
      </c>
      <c r="BD69" s="45"/>
      <c r="BE69" s="45"/>
      <c r="BF69" s="45"/>
      <c r="BG69" s="45">
        <f t="shared" si="61"/>
        <v>2573846412</v>
      </c>
      <c r="BH69" s="45"/>
      <c r="BI69" s="45"/>
      <c r="BJ69" s="45"/>
      <c r="BK69" s="45">
        <f t="shared" si="51"/>
        <v>643461603</v>
      </c>
      <c r="BL69" s="45"/>
      <c r="BM69" s="45"/>
      <c r="BN69" s="45"/>
      <c r="BO69" s="45">
        <f t="shared" si="52"/>
        <v>2344524</v>
      </c>
      <c r="BP69" s="45"/>
      <c r="BQ69" s="45"/>
      <c r="BR69" s="45"/>
      <c r="BS69" s="45">
        <f t="shared" si="53"/>
        <v>3327104747</v>
      </c>
      <c r="BT69" s="45"/>
      <c r="BU69" s="45"/>
      <c r="BV69" s="45"/>
      <c r="BW69" s="56">
        <f t="shared" si="62"/>
        <v>3715680754</v>
      </c>
      <c r="BX69" s="57"/>
      <c r="BY69" s="57"/>
      <c r="BZ69" s="58"/>
      <c r="CA69" s="45">
        <f t="shared" si="54"/>
        <v>83455676</v>
      </c>
      <c r="CB69" s="45"/>
      <c r="CC69" s="45"/>
      <c r="CD69" s="45"/>
    </row>
    <row r="70" spans="2:82">
      <c r="B70" s="3" t="s">
        <v>114</v>
      </c>
      <c r="C70" s="46" t="str">
        <f t="shared" si="67"/>
        <v>1666BDA9</v>
      </c>
      <c r="D70" s="47"/>
      <c r="E70" s="47"/>
      <c r="F70" s="48"/>
      <c r="H70" s="52" t="s">
        <v>102</v>
      </c>
      <c r="I70" s="51"/>
      <c r="J70" s="46" t="str">
        <f t="shared" si="63"/>
        <v>C1AF93E3</v>
      </c>
      <c r="K70" s="47"/>
      <c r="L70" s="47"/>
      <c r="M70" s="48"/>
      <c r="O70" s="52" t="s">
        <v>104</v>
      </c>
      <c r="P70" s="51"/>
      <c r="Q70" s="46" t="str">
        <f t="shared" si="64"/>
        <v>8BAF6FCC</v>
      </c>
      <c r="R70" s="47"/>
      <c r="S70" s="47"/>
      <c r="T70" s="48"/>
      <c r="U70" s="50" t="s">
        <v>113</v>
      </c>
      <c r="V70" s="51"/>
      <c r="W70" s="46" t="str">
        <f t="shared" si="65"/>
        <v>27CB75E3</v>
      </c>
      <c r="X70" s="47"/>
      <c r="Y70" s="47"/>
      <c r="Z70" s="48"/>
      <c r="AD70" s="49" t="s">
        <v>90</v>
      </c>
      <c r="AE70" s="49"/>
      <c r="AF70" s="49"/>
      <c r="AG70" s="16" t="str">
        <f t="shared" si="66"/>
        <v>C6</v>
      </c>
      <c r="AH70" s="16" t="str">
        <f t="shared" si="55"/>
        <v>70</v>
      </c>
      <c r="AI70" s="16" t="str">
        <f t="shared" si="56"/>
        <v>CB</v>
      </c>
      <c r="AJ70" s="16" t="str">
        <f t="shared" si="57"/>
        <v>E3</v>
      </c>
      <c r="AL70" s="44" t="str">
        <f t="shared" si="12"/>
        <v>C670CBE3</v>
      </c>
      <c r="AM70" s="44"/>
      <c r="AN70" s="44"/>
      <c r="AO70" s="44"/>
      <c r="AU70" s="45" t="str">
        <f t="shared" si="58"/>
        <v>C670CBE3</v>
      </c>
      <c r="AV70" s="45"/>
      <c r="AW70" s="45"/>
      <c r="AX70" s="45"/>
      <c r="AY70" s="45">
        <f t="shared" si="59"/>
        <v>2305044560</v>
      </c>
      <c r="AZ70" s="45"/>
      <c r="BA70" s="45"/>
      <c r="BB70" s="45"/>
      <c r="BC70" s="45">
        <f t="shared" si="60"/>
        <v>1402048973</v>
      </c>
      <c r="BD70" s="45"/>
      <c r="BE70" s="45"/>
      <c r="BF70" s="45"/>
      <c r="BG70" s="45">
        <f t="shared" si="61"/>
        <v>1590987571</v>
      </c>
      <c r="BH70" s="45"/>
      <c r="BI70" s="45"/>
      <c r="BJ70" s="45"/>
      <c r="BK70" s="45">
        <f t="shared" si="51"/>
        <v>3618972364</v>
      </c>
      <c r="BL70" s="45"/>
      <c r="BM70" s="45"/>
      <c r="BN70" s="45"/>
      <c r="BO70" s="45">
        <f t="shared" si="52"/>
        <v>367023</v>
      </c>
      <c r="BP70" s="45"/>
      <c r="BQ70" s="45"/>
      <c r="BR70" s="45"/>
      <c r="BS70" s="45">
        <f t="shared" si="53"/>
        <v>2568445663</v>
      </c>
      <c r="BT70" s="45"/>
      <c r="BU70" s="45"/>
      <c r="BV70" s="45"/>
      <c r="BW70" s="56">
        <f t="shared" si="62"/>
        <v>3690144491</v>
      </c>
      <c r="BX70" s="57"/>
      <c r="BY70" s="57"/>
      <c r="BZ70" s="58"/>
      <c r="CA70" s="45">
        <f t="shared" si="54"/>
        <v>292941305</v>
      </c>
      <c r="CB70" s="45"/>
      <c r="CC70" s="45"/>
      <c r="CD70" s="45"/>
    </row>
    <row r="71" spans="2:82">
      <c r="B71" s="3" t="s">
        <v>114</v>
      </c>
      <c r="C71" s="46" t="str">
        <f t="shared" si="67"/>
        <v>478BECFB</v>
      </c>
      <c r="D71" s="47"/>
      <c r="E71" s="47"/>
      <c r="F71" s="48"/>
      <c r="H71" s="52" t="s">
        <v>102</v>
      </c>
      <c r="I71" s="51"/>
      <c r="J71" s="46" t="str">
        <f t="shared" si="63"/>
        <v>701164BA</v>
      </c>
      <c r="K71" s="47"/>
      <c r="L71" s="47"/>
      <c r="M71" s="48"/>
      <c r="O71" s="52" t="s">
        <v>104</v>
      </c>
      <c r="P71" s="51"/>
      <c r="Q71" s="46" t="str">
        <f t="shared" si="64"/>
        <v>92A6FE99</v>
      </c>
      <c r="R71" s="47"/>
      <c r="S71" s="47"/>
      <c r="T71" s="48"/>
      <c r="U71" s="50" t="s">
        <v>113</v>
      </c>
      <c r="V71" s="51"/>
      <c r="W71" s="46" t="str">
        <f t="shared" si="65"/>
        <v>8BAF6FCC</v>
      </c>
      <c r="X71" s="47"/>
      <c r="Y71" s="47"/>
      <c r="Z71" s="48"/>
      <c r="AD71" s="49" t="s">
        <v>91</v>
      </c>
      <c r="AE71" s="49"/>
      <c r="AF71" s="49"/>
      <c r="AG71" s="16" t="str">
        <f t="shared" si="66"/>
        <v>26</v>
      </c>
      <c r="AH71" s="16" t="str">
        <f t="shared" si="55"/>
        <v>8B</v>
      </c>
      <c r="AI71" s="16" t="str">
        <f t="shared" si="56"/>
        <v>F4</v>
      </c>
      <c r="AJ71" s="16" t="str">
        <f t="shared" si="57"/>
        <v>DC</v>
      </c>
      <c r="AL71" s="44" t="str">
        <f t="shared" si="12"/>
        <v>268BF4DC</v>
      </c>
      <c r="AM71" s="44"/>
      <c r="AN71" s="44"/>
      <c r="AO71" s="44"/>
      <c r="AU71" s="45" t="str">
        <f t="shared" si="58"/>
        <v>268BF4DC</v>
      </c>
      <c r="AV71" s="45"/>
      <c r="AW71" s="45"/>
      <c r="AX71" s="45"/>
      <c r="AY71" s="45">
        <f t="shared" si="59"/>
        <v>2347968975</v>
      </c>
      <c r="AZ71" s="45"/>
      <c r="BA71" s="45"/>
      <c r="BB71" s="45"/>
      <c r="BC71" s="45">
        <f t="shared" si="60"/>
        <v>2664953479</v>
      </c>
      <c r="BD71" s="45"/>
      <c r="BE71" s="45"/>
      <c r="BF71" s="45"/>
      <c r="BG71" s="45">
        <f t="shared" si="61"/>
        <v>4135429061</v>
      </c>
      <c r="BH71" s="45"/>
      <c r="BI71" s="45"/>
      <c r="BJ71" s="45"/>
      <c r="BK71" s="45">
        <f t="shared" si="51"/>
        <v>2107599089</v>
      </c>
      <c r="BL71" s="45"/>
      <c r="BM71" s="45"/>
      <c r="BN71" s="45"/>
      <c r="BO71" s="45">
        <f t="shared" si="52"/>
        <v>1172219</v>
      </c>
      <c r="BP71" s="45"/>
      <c r="BQ71" s="45"/>
      <c r="BR71" s="45"/>
      <c r="BS71" s="45">
        <f t="shared" si="53"/>
        <v>858082813</v>
      </c>
      <c r="BT71" s="45"/>
      <c r="BU71" s="45"/>
      <c r="BV71" s="45"/>
      <c r="BW71" s="56">
        <f t="shared" si="62"/>
        <v>3215353001</v>
      </c>
      <c r="BX71" s="57"/>
      <c r="BY71" s="57"/>
      <c r="BZ71" s="58"/>
      <c r="CA71" s="45">
        <f t="shared" si="54"/>
        <v>307552211</v>
      </c>
      <c r="CB71" s="45"/>
      <c r="CC71" s="45"/>
      <c r="CD71" s="45"/>
    </row>
    <row r="72" spans="2:82">
      <c r="B72" s="3" t="s">
        <v>114</v>
      </c>
      <c r="C72" s="46" t="str">
        <f t="shared" si="67"/>
        <v>C670CBE3</v>
      </c>
      <c r="D72" s="47"/>
      <c r="E72" s="47"/>
      <c r="F72" s="48"/>
      <c r="H72" s="52" t="s">
        <v>102</v>
      </c>
      <c r="I72" s="51"/>
      <c r="J72" s="46" t="str">
        <f t="shared" si="63"/>
        <v>EDE479D3</v>
      </c>
      <c r="K72" s="47"/>
      <c r="L72" s="47"/>
      <c r="M72" s="48"/>
      <c r="O72" s="52" t="s">
        <v>104</v>
      </c>
      <c r="P72" s="51"/>
      <c r="Q72" s="46" t="str">
        <f t="shared" si="64"/>
        <v>C8541553</v>
      </c>
      <c r="R72" s="47"/>
      <c r="S72" s="47"/>
      <c r="T72" s="48"/>
      <c r="U72" s="50" t="s">
        <v>113</v>
      </c>
      <c r="V72" s="51"/>
      <c r="W72" s="46" t="str">
        <f t="shared" si="65"/>
        <v>92A6FE99</v>
      </c>
      <c r="X72" s="47"/>
      <c r="Y72" s="47"/>
      <c r="Z72" s="48"/>
      <c r="AD72" s="49" t="s">
        <v>92</v>
      </c>
      <c r="AE72" s="49"/>
      <c r="AF72" s="49"/>
      <c r="AG72" s="16" t="str">
        <f t="shared" si="66"/>
        <v>B9</v>
      </c>
      <c r="AH72" s="16" t="str">
        <f t="shared" si="55"/>
        <v>16</v>
      </c>
      <c r="AI72" s="16" t="str">
        <f t="shared" si="56"/>
        <v>58</v>
      </c>
      <c r="AJ72" s="16" t="str">
        <f t="shared" si="57"/>
        <v>C5</v>
      </c>
      <c r="AL72" s="44" t="str">
        <f t="shared" si="12"/>
        <v>B91658C5</v>
      </c>
      <c r="AM72" s="44"/>
      <c r="AN72" s="44"/>
      <c r="AO72" s="44"/>
      <c r="AU72" s="45" t="str">
        <f t="shared" si="58"/>
        <v>B91658C5</v>
      </c>
      <c r="AV72" s="45"/>
      <c r="AW72" s="45"/>
      <c r="AX72" s="45"/>
      <c r="AY72" s="45">
        <f t="shared" si="59"/>
        <v>2092697540</v>
      </c>
      <c r="AZ72" s="45"/>
      <c r="BA72" s="45"/>
      <c r="BB72" s="45"/>
      <c r="BC72" s="45">
        <f t="shared" si="60"/>
        <v>3150895253</v>
      </c>
      <c r="BD72" s="45"/>
      <c r="BE72" s="45"/>
      <c r="BF72" s="45"/>
      <c r="BG72" s="45">
        <f t="shared" si="61"/>
        <v>1710351160</v>
      </c>
      <c r="BH72" s="45"/>
      <c r="BI72" s="45"/>
      <c r="BJ72" s="45"/>
      <c r="BK72" s="45">
        <f t="shared" si="51"/>
        <v>427587790</v>
      </c>
      <c r="BL72" s="45"/>
      <c r="BM72" s="45"/>
      <c r="BN72" s="45"/>
      <c r="BO72" s="45">
        <f t="shared" si="52"/>
        <v>3251250</v>
      </c>
      <c r="BP72" s="45"/>
      <c r="BQ72" s="45"/>
      <c r="BR72" s="45"/>
      <c r="BS72" s="45">
        <f t="shared" si="53"/>
        <v>2811275306</v>
      </c>
      <c r="BT72" s="45"/>
      <c r="BU72" s="45"/>
      <c r="BV72" s="45"/>
      <c r="BW72" s="56">
        <f t="shared" si="62"/>
        <v>89453077</v>
      </c>
      <c r="BX72" s="57"/>
      <c r="BY72" s="57"/>
      <c r="BZ72" s="58"/>
      <c r="CA72" s="45">
        <f t="shared" si="54"/>
        <v>420119210</v>
      </c>
      <c r="CB72" s="45"/>
      <c r="CC72" s="45"/>
      <c r="CD72" s="45"/>
    </row>
    <row r="73" spans="2:82">
      <c r="B73" s="3" t="s">
        <v>114</v>
      </c>
      <c r="C73" s="46" t="str">
        <f t="shared" si="67"/>
        <v>268BF4DC</v>
      </c>
      <c r="D73" s="47"/>
      <c r="E73" s="47"/>
      <c r="F73" s="48"/>
      <c r="H73" s="52" t="s">
        <v>102</v>
      </c>
      <c r="I73" s="51"/>
      <c r="J73" s="46" t="str">
        <f t="shared" si="63"/>
        <v>2704BD25</v>
      </c>
      <c r="K73" s="47"/>
      <c r="L73" s="47"/>
      <c r="M73" s="48"/>
      <c r="O73" s="52" t="s">
        <v>104</v>
      </c>
      <c r="P73" s="51"/>
      <c r="Q73" s="46" t="str">
        <f t="shared" si="64"/>
        <v>2A4C463C</v>
      </c>
      <c r="R73" s="47"/>
      <c r="S73" s="47"/>
      <c r="T73" s="48"/>
      <c r="U73" s="50" t="s">
        <v>113</v>
      </c>
      <c r="V73" s="51"/>
      <c r="W73" s="46" t="str">
        <f t="shared" si="65"/>
        <v>C8541553</v>
      </c>
      <c r="X73" s="47"/>
      <c r="Y73" s="47"/>
      <c r="Z73" s="48"/>
      <c r="AD73" s="49" t="s">
        <v>93</v>
      </c>
      <c r="AE73" s="49"/>
      <c r="AF73" s="49"/>
      <c r="AG73" s="16" t="str">
        <f t="shared" si="66"/>
        <v>E0</v>
      </c>
      <c r="AH73" s="16" t="str">
        <f t="shared" si="55"/>
        <v>E7</v>
      </c>
      <c r="AI73" s="16" t="str">
        <f t="shared" si="56"/>
        <v>22</v>
      </c>
      <c r="AJ73" s="16" t="str">
        <f t="shared" si="57"/>
        <v>B9</v>
      </c>
      <c r="AL73" s="44" t="str">
        <f t="shared" si="12"/>
        <v>E0E722B9</v>
      </c>
      <c r="AM73" s="44"/>
      <c r="AN73" s="44"/>
      <c r="AO73" s="44"/>
      <c r="AU73" s="45" t="str">
        <f t="shared" si="58"/>
        <v>E0E722B9</v>
      </c>
      <c r="AV73" s="45"/>
      <c r="AW73" s="45"/>
      <c r="AX73" s="45"/>
      <c r="AY73" s="45">
        <f t="shared" si="59"/>
        <v>2231121257</v>
      </c>
      <c r="AZ73" s="45"/>
      <c r="BA73" s="45"/>
      <c r="BB73" s="45"/>
      <c r="BC73" s="45">
        <f t="shared" si="60"/>
        <v>1821514456</v>
      </c>
      <c r="BD73" s="45"/>
      <c r="BE73" s="45"/>
      <c r="BF73" s="45"/>
      <c r="BG73" s="45">
        <f t="shared" si="61"/>
        <v>4201517893</v>
      </c>
      <c r="BH73" s="45"/>
      <c r="BI73" s="45"/>
      <c r="BJ73" s="45"/>
      <c r="BK73" s="45">
        <f t="shared" si="51"/>
        <v>2124121297</v>
      </c>
      <c r="BL73" s="45"/>
      <c r="BM73" s="45"/>
      <c r="BN73" s="45"/>
      <c r="BO73" s="45">
        <f t="shared" si="52"/>
        <v>631549</v>
      </c>
      <c r="BP73" s="45"/>
      <c r="BQ73" s="45"/>
      <c r="BR73" s="45"/>
      <c r="BS73" s="45">
        <f t="shared" si="53"/>
        <v>2018809996</v>
      </c>
      <c r="BT73" s="45"/>
      <c r="BU73" s="45"/>
      <c r="BV73" s="45"/>
      <c r="BW73" s="56">
        <f t="shared" si="62"/>
        <v>294587027</v>
      </c>
      <c r="BX73" s="57"/>
      <c r="BY73" s="57"/>
      <c r="BZ73" s="58"/>
      <c r="CA73" s="45">
        <f t="shared" si="54"/>
        <v>88705223</v>
      </c>
      <c r="CB73" s="45"/>
      <c r="CC73" s="45"/>
      <c r="CD73" s="45"/>
    </row>
    <row r="74" spans="2:82">
      <c r="B74" s="3" t="s">
        <v>114</v>
      </c>
      <c r="C74" s="46" t="str">
        <f t="shared" si="67"/>
        <v>B91658C5</v>
      </c>
      <c r="D74" s="47"/>
      <c r="E74" s="47"/>
      <c r="F74" s="48"/>
      <c r="H74" s="52" t="s">
        <v>102</v>
      </c>
      <c r="I74" s="51"/>
      <c r="J74" s="46" t="str">
        <f t="shared" si="63"/>
        <v>8F1932D3</v>
      </c>
      <c r="K74" s="47"/>
      <c r="L74" s="47"/>
      <c r="M74" s="48"/>
      <c r="O74" s="52" t="s">
        <v>104</v>
      </c>
      <c r="P74" s="51"/>
      <c r="Q74" s="46" t="str">
        <f t="shared" si="64"/>
        <v>04E83073</v>
      </c>
      <c r="R74" s="47"/>
      <c r="S74" s="47"/>
      <c r="T74" s="48"/>
      <c r="U74" s="50" t="s">
        <v>113</v>
      </c>
      <c r="V74" s="51"/>
      <c r="W74" s="46" t="str">
        <f t="shared" si="65"/>
        <v>2A4C463C</v>
      </c>
      <c r="X74" s="47"/>
      <c r="Y74" s="47"/>
      <c r="Z74" s="48"/>
      <c r="AD74" s="49" t="s">
        <v>94</v>
      </c>
      <c r="AE74" s="49"/>
      <c r="AF74" s="49"/>
      <c r="AG74" s="16" t="str">
        <f t="shared" si="66"/>
        <v>8B</v>
      </c>
      <c r="AH74" s="16" t="str">
        <f t="shared" si="55"/>
        <v>41</v>
      </c>
      <c r="AI74" s="16" t="str">
        <f t="shared" si="56"/>
        <v>BE</v>
      </c>
      <c r="AJ74" s="16" t="str">
        <f t="shared" si="57"/>
        <v>A2</v>
      </c>
      <c r="AL74" s="44" t="str">
        <f t="shared" si="12"/>
        <v>8B41BEA2</v>
      </c>
      <c r="AM74" s="44"/>
      <c r="AN74" s="44"/>
      <c r="AO74" s="44"/>
      <c r="AU74" s="45" t="str">
        <f t="shared" si="58"/>
        <v>8B41BEA2</v>
      </c>
      <c r="AV74" s="45"/>
      <c r="AW74" s="45"/>
      <c r="AX74" s="45"/>
      <c r="AY74" s="45">
        <f t="shared" si="59"/>
        <v>3881053759</v>
      </c>
      <c r="AZ74" s="45"/>
      <c r="BA74" s="45"/>
      <c r="BB74" s="45"/>
      <c r="BC74" s="45">
        <f t="shared" si="60"/>
        <v>3934787412</v>
      </c>
      <c r="BD74" s="45"/>
      <c r="BE74" s="45"/>
      <c r="BF74" s="45"/>
      <c r="BG74" s="45">
        <f t="shared" si="61"/>
        <v>744676491</v>
      </c>
      <c r="BH74" s="45"/>
      <c r="BI74" s="45"/>
      <c r="BJ74" s="45"/>
      <c r="BK74" s="45">
        <f t="shared" si="51"/>
        <v>3407394594</v>
      </c>
      <c r="BL74" s="45"/>
      <c r="BM74" s="45"/>
      <c r="BN74" s="45"/>
      <c r="BO74" s="45">
        <f t="shared" si="52"/>
        <v>3032470</v>
      </c>
      <c r="BP74" s="45"/>
      <c r="BQ74" s="45"/>
      <c r="BR74" s="45"/>
      <c r="BS74" s="45">
        <f t="shared" si="53"/>
        <v>3859402848</v>
      </c>
      <c r="BT74" s="45"/>
      <c r="BU74" s="45"/>
      <c r="BV74" s="45"/>
      <c r="BW74" s="56">
        <f t="shared" si="62"/>
        <v>203211066</v>
      </c>
      <c r="BX74" s="57"/>
      <c r="BY74" s="57"/>
      <c r="BZ74" s="58"/>
      <c r="CA74" s="45">
        <f t="shared" si="54"/>
        <v>10290702</v>
      </c>
      <c r="CB74" s="45"/>
      <c r="CC74" s="45"/>
      <c r="CD74" s="45"/>
    </row>
    <row r="75" spans="2:82">
      <c r="B75" s="3" t="s">
        <v>114</v>
      </c>
      <c r="C75" s="46" t="str">
        <f t="shared" si="67"/>
        <v>E0E722B9</v>
      </c>
      <c r="D75" s="47"/>
      <c r="E75" s="47"/>
      <c r="F75" s="48"/>
      <c r="H75" s="52" t="s">
        <v>102</v>
      </c>
      <c r="I75" s="51"/>
      <c r="J75" s="46" t="str">
        <f t="shared" si="63"/>
        <v>1666BDA9</v>
      </c>
      <c r="K75" s="47"/>
      <c r="L75" s="47"/>
      <c r="M75" s="48"/>
      <c r="O75" s="52" t="s">
        <v>104</v>
      </c>
      <c r="P75" s="51"/>
      <c r="Q75" s="46" t="str">
        <f t="shared" si="64"/>
        <v>ED1B8C54</v>
      </c>
      <c r="R75" s="47"/>
      <c r="S75" s="47"/>
      <c r="T75" s="48"/>
      <c r="U75" s="50" t="s">
        <v>113</v>
      </c>
      <c r="V75" s="51"/>
      <c r="W75" s="46" t="str">
        <f t="shared" si="65"/>
        <v>04E83073</v>
      </c>
      <c r="X75" s="47"/>
      <c r="Y75" s="47"/>
      <c r="Z75" s="48"/>
      <c r="AD75" s="49" t="s">
        <v>95</v>
      </c>
      <c r="AE75" s="49"/>
      <c r="AF75" s="49"/>
      <c r="AG75" s="16" t="str">
        <f t="shared" si="66"/>
        <v>E7</v>
      </c>
      <c r="AH75" s="16" t="str">
        <f t="shared" si="55"/>
        <v>EF</v>
      </c>
      <c r="AI75" s="16" t="str">
        <f t="shared" si="56"/>
        <v>61</v>
      </c>
      <c r="AJ75" s="16" t="str">
        <f t="shared" si="57"/>
        <v>97</v>
      </c>
      <c r="AL75" s="44" t="str">
        <f t="shared" si="12"/>
        <v>E7EF6197</v>
      </c>
      <c r="AM75" s="44"/>
      <c r="AN75" s="44"/>
      <c r="AO75" s="44"/>
      <c r="AU75" s="45" t="str">
        <f t="shared" si="58"/>
        <v>E7EF6197</v>
      </c>
      <c r="AV75" s="45"/>
      <c r="AW75" s="45"/>
      <c r="AX75" s="45"/>
      <c r="AY75" s="45">
        <f t="shared" si="59"/>
        <v>1966339495</v>
      </c>
      <c r="AZ75" s="45"/>
      <c r="BA75" s="45"/>
      <c r="BB75" s="45"/>
      <c r="BC75" s="45">
        <f t="shared" si="60"/>
        <v>1466727892</v>
      </c>
      <c r="BD75" s="45"/>
      <c r="BE75" s="45"/>
      <c r="BF75" s="45"/>
      <c r="BG75" s="45">
        <f t="shared" si="61"/>
        <v>2438787187</v>
      </c>
      <c r="BH75" s="45"/>
      <c r="BI75" s="45"/>
      <c r="BJ75" s="45"/>
      <c r="BK75" s="45">
        <f t="shared" si="51"/>
        <v>3830922268</v>
      </c>
      <c r="BL75" s="45"/>
      <c r="BM75" s="45"/>
      <c r="BN75" s="45"/>
      <c r="BO75" s="45">
        <f t="shared" si="52"/>
        <v>3684808</v>
      </c>
      <c r="BP75" s="45"/>
      <c r="BQ75" s="45"/>
      <c r="BR75" s="45"/>
      <c r="BS75" s="45">
        <f t="shared" si="53"/>
        <v>2849650456</v>
      </c>
      <c r="BT75" s="45"/>
      <c r="BU75" s="45"/>
      <c r="BV75" s="45"/>
      <c r="BW75" s="56">
        <f t="shared" si="62"/>
        <v>3809819462</v>
      </c>
      <c r="BX75" s="57"/>
      <c r="BY75" s="57"/>
      <c r="BZ75" s="58"/>
      <c r="CA75" s="45">
        <f t="shared" si="54"/>
        <v>497250698</v>
      </c>
      <c r="CB75" s="45"/>
      <c r="CC75" s="45"/>
      <c r="CD75" s="45"/>
    </row>
    <row r="77" spans="2:82">
      <c r="B77" t="s">
        <v>96</v>
      </c>
    </row>
  </sheetData>
  <mergeCells count="907">
    <mergeCell ref="H58:I58"/>
    <mergeCell ref="H59:I59"/>
    <mergeCell ref="H60:I60"/>
    <mergeCell ref="H61:I61"/>
    <mergeCell ref="H62:I62"/>
    <mergeCell ref="H63:I63"/>
    <mergeCell ref="H64:I64"/>
    <mergeCell ref="H74:I74"/>
    <mergeCell ref="H75:I75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J57:M57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39:I39"/>
    <mergeCell ref="H40:I40"/>
    <mergeCell ref="H41:I41"/>
    <mergeCell ref="O57:P57"/>
    <mergeCell ref="O39:P39"/>
    <mergeCell ref="O40:P40"/>
    <mergeCell ref="O41:P41"/>
    <mergeCell ref="O42:P42"/>
    <mergeCell ref="O43:P43"/>
    <mergeCell ref="O44:P44"/>
    <mergeCell ref="O45:P45"/>
    <mergeCell ref="O46:P46"/>
    <mergeCell ref="O48:P48"/>
    <mergeCell ref="O49:P49"/>
    <mergeCell ref="O50:P50"/>
    <mergeCell ref="O51:P51"/>
    <mergeCell ref="O52:P52"/>
    <mergeCell ref="O53:P53"/>
    <mergeCell ref="O54:P54"/>
    <mergeCell ref="O55:P55"/>
    <mergeCell ref="H42:I42"/>
    <mergeCell ref="H43:I43"/>
    <mergeCell ref="H44:I44"/>
    <mergeCell ref="H45:I45"/>
    <mergeCell ref="H46:I46"/>
    <mergeCell ref="J52:M52"/>
    <mergeCell ref="J53:M53"/>
    <mergeCell ref="J51:M51"/>
    <mergeCell ref="U61:V61"/>
    <mergeCell ref="U53:V53"/>
    <mergeCell ref="U54:V54"/>
    <mergeCell ref="U55:V55"/>
    <mergeCell ref="U56:V56"/>
    <mergeCell ref="U57:V57"/>
    <mergeCell ref="U58:V58"/>
    <mergeCell ref="U59:V59"/>
    <mergeCell ref="U60:V60"/>
    <mergeCell ref="U45:V45"/>
    <mergeCell ref="U46:V46"/>
    <mergeCell ref="U47:V47"/>
    <mergeCell ref="U48:V48"/>
    <mergeCell ref="J58:M58"/>
    <mergeCell ref="J59:M59"/>
    <mergeCell ref="J60:M60"/>
    <mergeCell ref="U62:V62"/>
    <mergeCell ref="U63:V63"/>
    <mergeCell ref="U64:V64"/>
    <mergeCell ref="U65:V65"/>
    <mergeCell ref="U66:V66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58:P58"/>
    <mergeCell ref="O59:P59"/>
    <mergeCell ref="O60:P60"/>
    <mergeCell ref="O61:P61"/>
    <mergeCell ref="O62:P62"/>
    <mergeCell ref="O63:P63"/>
    <mergeCell ref="O64:P64"/>
    <mergeCell ref="O65:P65"/>
    <mergeCell ref="O47:P47"/>
    <mergeCell ref="U52:V52"/>
    <mergeCell ref="H29:I29"/>
    <mergeCell ref="O29:P29"/>
    <mergeCell ref="U29:V29"/>
    <mergeCell ref="U30:V30"/>
    <mergeCell ref="U31:V31"/>
    <mergeCell ref="U32:V32"/>
    <mergeCell ref="U33:V33"/>
    <mergeCell ref="U34:V34"/>
    <mergeCell ref="U35:V35"/>
    <mergeCell ref="AU75:AX75"/>
    <mergeCell ref="AY75:BB75"/>
    <mergeCell ref="BC75:BF75"/>
    <mergeCell ref="BG75:BJ75"/>
    <mergeCell ref="BK75:BN75"/>
    <mergeCell ref="BO75:BR75"/>
    <mergeCell ref="BS75:BV75"/>
    <mergeCell ref="BW75:BZ75"/>
    <mergeCell ref="CA75:CD75"/>
    <mergeCell ref="AU74:AX74"/>
    <mergeCell ref="AY74:BB74"/>
    <mergeCell ref="BC74:BF74"/>
    <mergeCell ref="BG74:BJ74"/>
    <mergeCell ref="BK74:BN74"/>
    <mergeCell ref="BO74:BR74"/>
    <mergeCell ref="BS74:BV74"/>
    <mergeCell ref="BW74:BZ74"/>
    <mergeCell ref="CA74:CD74"/>
    <mergeCell ref="AU73:AX73"/>
    <mergeCell ref="AY73:BB73"/>
    <mergeCell ref="BC73:BF73"/>
    <mergeCell ref="BG73:BJ73"/>
    <mergeCell ref="BK73:BN73"/>
    <mergeCell ref="BO73:BR73"/>
    <mergeCell ref="BS73:BV73"/>
    <mergeCell ref="BW73:BZ73"/>
    <mergeCell ref="CA73:CD73"/>
    <mergeCell ref="AU72:AX72"/>
    <mergeCell ref="AY72:BB72"/>
    <mergeCell ref="BC72:BF72"/>
    <mergeCell ref="BG72:BJ72"/>
    <mergeCell ref="BK72:BN72"/>
    <mergeCell ref="BO72:BR72"/>
    <mergeCell ref="BS72:BV72"/>
    <mergeCell ref="BW72:BZ72"/>
    <mergeCell ref="CA72:CD72"/>
    <mergeCell ref="AU71:AX71"/>
    <mergeCell ref="AY71:BB71"/>
    <mergeCell ref="BC71:BF71"/>
    <mergeCell ref="BG71:BJ71"/>
    <mergeCell ref="BK71:BN71"/>
    <mergeCell ref="BO71:BR71"/>
    <mergeCell ref="BS71:BV71"/>
    <mergeCell ref="BW71:BZ71"/>
    <mergeCell ref="CA71:CD71"/>
    <mergeCell ref="AU70:AX70"/>
    <mergeCell ref="AY70:BB70"/>
    <mergeCell ref="BC70:BF70"/>
    <mergeCell ref="BG70:BJ70"/>
    <mergeCell ref="BK70:BN70"/>
    <mergeCell ref="BO70:BR70"/>
    <mergeCell ref="BS70:BV70"/>
    <mergeCell ref="BW70:BZ70"/>
    <mergeCell ref="CA70:CD70"/>
    <mergeCell ref="AU69:AX69"/>
    <mergeCell ref="AY69:BB69"/>
    <mergeCell ref="BC69:BF69"/>
    <mergeCell ref="BG69:BJ69"/>
    <mergeCell ref="BK69:BN69"/>
    <mergeCell ref="BO69:BR69"/>
    <mergeCell ref="BS69:BV69"/>
    <mergeCell ref="BW69:BZ69"/>
    <mergeCell ref="CA69:CD69"/>
    <mergeCell ref="AU68:AX68"/>
    <mergeCell ref="AY68:BB68"/>
    <mergeCell ref="BC68:BF68"/>
    <mergeCell ref="BG68:BJ68"/>
    <mergeCell ref="BK68:BN68"/>
    <mergeCell ref="BO68:BR68"/>
    <mergeCell ref="BS68:BV68"/>
    <mergeCell ref="BW68:BZ68"/>
    <mergeCell ref="CA68:CD68"/>
    <mergeCell ref="AU67:AX67"/>
    <mergeCell ref="AY67:BB67"/>
    <mergeCell ref="BC67:BF67"/>
    <mergeCell ref="BG67:BJ67"/>
    <mergeCell ref="BK67:BN67"/>
    <mergeCell ref="BO67:BR67"/>
    <mergeCell ref="BS67:BV67"/>
    <mergeCell ref="BW67:BZ67"/>
    <mergeCell ref="CA67:CD67"/>
    <mergeCell ref="AU66:AX66"/>
    <mergeCell ref="AY66:BB66"/>
    <mergeCell ref="BC66:BF66"/>
    <mergeCell ref="BG66:BJ66"/>
    <mergeCell ref="BK66:BN66"/>
    <mergeCell ref="BO66:BR66"/>
    <mergeCell ref="BS66:BV66"/>
    <mergeCell ref="BW66:BZ66"/>
    <mergeCell ref="CA66:CD66"/>
    <mergeCell ref="AU65:AX65"/>
    <mergeCell ref="AY65:BB65"/>
    <mergeCell ref="BC65:BF65"/>
    <mergeCell ref="BG65:BJ65"/>
    <mergeCell ref="BK65:BN65"/>
    <mergeCell ref="BO65:BR65"/>
    <mergeCell ref="BS65:BV65"/>
    <mergeCell ref="BW65:BZ65"/>
    <mergeCell ref="CA65:CD65"/>
    <mergeCell ref="AU64:AX64"/>
    <mergeCell ref="AY64:BB64"/>
    <mergeCell ref="BC64:BF64"/>
    <mergeCell ref="BG64:BJ64"/>
    <mergeCell ref="BK64:BN64"/>
    <mergeCell ref="BO64:BR64"/>
    <mergeCell ref="BS64:BV64"/>
    <mergeCell ref="BW64:BZ64"/>
    <mergeCell ref="CA64:CD64"/>
    <mergeCell ref="AU63:AX63"/>
    <mergeCell ref="AY63:BB63"/>
    <mergeCell ref="BC63:BF63"/>
    <mergeCell ref="BG63:BJ63"/>
    <mergeCell ref="BK63:BN63"/>
    <mergeCell ref="BO63:BR63"/>
    <mergeCell ref="BS63:BV63"/>
    <mergeCell ref="BW63:BZ63"/>
    <mergeCell ref="CA63:CD63"/>
    <mergeCell ref="AU62:AX62"/>
    <mergeCell ref="AY62:BB62"/>
    <mergeCell ref="BC62:BF62"/>
    <mergeCell ref="BG62:BJ62"/>
    <mergeCell ref="BK62:BN62"/>
    <mergeCell ref="BO62:BR62"/>
    <mergeCell ref="BS62:BV62"/>
    <mergeCell ref="BW62:BZ62"/>
    <mergeCell ref="CA62:CD62"/>
    <mergeCell ref="AU61:AX61"/>
    <mergeCell ref="AY61:BB61"/>
    <mergeCell ref="BC61:BF61"/>
    <mergeCell ref="BG61:BJ61"/>
    <mergeCell ref="BK61:BN61"/>
    <mergeCell ref="BO61:BR61"/>
    <mergeCell ref="BS61:BV61"/>
    <mergeCell ref="BW61:BZ61"/>
    <mergeCell ref="CA61:CD61"/>
    <mergeCell ref="AU60:AX60"/>
    <mergeCell ref="AY60:BB60"/>
    <mergeCell ref="BC60:BF60"/>
    <mergeCell ref="BG60:BJ60"/>
    <mergeCell ref="BK60:BN60"/>
    <mergeCell ref="BO60:BR60"/>
    <mergeCell ref="BS60:BV60"/>
    <mergeCell ref="BW60:BZ60"/>
    <mergeCell ref="CA60:CD60"/>
    <mergeCell ref="AU59:AX59"/>
    <mergeCell ref="AY59:BB59"/>
    <mergeCell ref="BC59:BF59"/>
    <mergeCell ref="BG59:BJ59"/>
    <mergeCell ref="BK59:BN59"/>
    <mergeCell ref="BO59:BR59"/>
    <mergeCell ref="BS59:BV59"/>
    <mergeCell ref="BW59:BZ59"/>
    <mergeCell ref="CA59:CD59"/>
    <mergeCell ref="AU58:AX58"/>
    <mergeCell ref="AY58:BB58"/>
    <mergeCell ref="BC58:BF58"/>
    <mergeCell ref="BG58:BJ58"/>
    <mergeCell ref="BK58:BN58"/>
    <mergeCell ref="BO58:BR58"/>
    <mergeCell ref="BS58:BV58"/>
    <mergeCell ref="BW58:BZ58"/>
    <mergeCell ref="CA58:CD58"/>
    <mergeCell ref="AU57:AX57"/>
    <mergeCell ref="AY57:BB57"/>
    <mergeCell ref="BC57:BF57"/>
    <mergeCell ref="BG57:BJ57"/>
    <mergeCell ref="BK57:BN57"/>
    <mergeCell ref="BO57:BR57"/>
    <mergeCell ref="BS57:BV57"/>
    <mergeCell ref="BW57:BZ57"/>
    <mergeCell ref="CA57:CD57"/>
    <mergeCell ref="AU56:AX56"/>
    <mergeCell ref="AY56:BB56"/>
    <mergeCell ref="BC56:BF56"/>
    <mergeCell ref="BG56:BJ56"/>
    <mergeCell ref="BK56:BN56"/>
    <mergeCell ref="BO56:BR56"/>
    <mergeCell ref="BS56:BV56"/>
    <mergeCell ref="BW56:BZ56"/>
    <mergeCell ref="CA56:CD56"/>
    <mergeCell ref="AU55:AX55"/>
    <mergeCell ref="AY55:BB55"/>
    <mergeCell ref="BC55:BF55"/>
    <mergeCell ref="BG55:BJ55"/>
    <mergeCell ref="BK55:BN55"/>
    <mergeCell ref="BO55:BR55"/>
    <mergeCell ref="BS55:BV55"/>
    <mergeCell ref="BW55:BZ55"/>
    <mergeCell ref="CA55:CD55"/>
    <mergeCell ref="AU54:AX54"/>
    <mergeCell ref="AY54:BB54"/>
    <mergeCell ref="BC54:BF54"/>
    <mergeCell ref="BG54:BJ54"/>
    <mergeCell ref="BK54:BN54"/>
    <mergeCell ref="BO54:BR54"/>
    <mergeCell ref="BS54:BV54"/>
    <mergeCell ref="BW54:BZ54"/>
    <mergeCell ref="CA54:CD54"/>
    <mergeCell ref="AU53:AX53"/>
    <mergeCell ref="AY53:BB53"/>
    <mergeCell ref="BC53:BF53"/>
    <mergeCell ref="BG53:BJ53"/>
    <mergeCell ref="BK53:BN53"/>
    <mergeCell ref="BO53:BR53"/>
    <mergeCell ref="BS53:BV53"/>
    <mergeCell ref="BW53:BZ53"/>
    <mergeCell ref="CA53:CD53"/>
    <mergeCell ref="AU52:AX52"/>
    <mergeCell ref="AY52:BB52"/>
    <mergeCell ref="BC52:BF52"/>
    <mergeCell ref="BG52:BJ52"/>
    <mergeCell ref="BK52:BN52"/>
    <mergeCell ref="BO52:BR52"/>
    <mergeCell ref="BS52:BV52"/>
    <mergeCell ref="BW52:BZ52"/>
    <mergeCell ref="CA52:CD52"/>
    <mergeCell ref="AU51:AX51"/>
    <mergeCell ref="AY51:BB51"/>
    <mergeCell ref="BC51:BF51"/>
    <mergeCell ref="BG51:BJ51"/>
    <mergeCell ref="BK51:BN51"/>
    <mergeCell ref="BO51:BR51"/>
    <mergeCell ref="BS51:BV51"/>
    <mergeCell ref="BW51:BZ51"/>
    <mergeCell ref="CA51:CD51"/>
    <mergeCell ref="AU50:AX50"/>
    <mergeCell ref="AY50:BB50"/>
    <mergeCell ref="BC50:BF50"/>
    <mergeCell ref="BG50:BJ50"/>
    <mergeCell ref="BK50:BN50"/>
    <mergeCell ref="BO50:BR50"/>
    <mergeCell ref="BS50:BV50"/>
    <mergeCell ref="BW50:BZ50"/>
    <mergeCell ref="CA50:CD50"/>
    <mergeCell ref="AU49:AX49"/>
    <mergeCell ref="AY49:BB49"/>
    <mergeCell ref="BC49:BF49"/>
    <mergeCell ref="BG49:BJ49"/>
    <mergeCell ref="BK49:BN49"/>
    <mergeCell ref="BO49:BR49"/>
    <mergeCell ref="BS49:BV49"/>
    <mergeCell ref="BW49:BZ49"/>
    <mergeCell ref="CA49:CD49"/>
    <mergeCell ref="AU48:AX48"/>
    <mergeCell ref="AY48:BB48"/>
    <mergeCell ref="BC48:BF48"/>
    <mergeCell ref="BG48:BJ48"/>
    <mergeCell ref="BK48:BN48"/>
    <mergeCell ref="BO48:BR48"/>
    <mergeCell ref="BS48:BV48"/>
    <mergeCell ref="BW48:BZ48"/>
    <mergeCell ref="CA48:CD48"/>
    <mergeCell ref="AU47:AX47"/>
    <mergeCell ref="AY47:BB47"/>
    <mergeCell ref="BC47:BF47"/>
    <mergeCell ref="BG47:BJ47"/>
    <mergeCell ref="BK47:BN47"/>
    <mergeCell ref="BO47:BR47"/>
    <mergeCell ref="BS47:BV47"/>
    <mergeCell ref="BW47:BZ47"/>
    <mergeCell ref="CA47:CD47"/>
    <mergeCell ref="AU46:AX46"/>
    <mergeCell ref="AY46:BB46"/>
    <mergeCell ref="BC46:BF46"/>
    <mergeCell ref="BG46:BJ46"/>
    <mergeCell ref="BK46:BN46"/>
    <mergeCell ref="BO46:BR46"/>
    <mergeCell ref="BS46:BV46"/>
    <mergeCell ref="BW46:BZ46"/>
    <mergeCell ref="CA46:CD46"/>
    <mergeCell ref="AU45:AX45"/>
    <mergeCell ref="AY45:BB45"/>
    <mergeCell ref="BC45:BF45"/>
    <mergeCell ref="BG45:BJ45"/>
    <mergeCell ref="BK45:BN45"/>
    <mergeCell ref="BO45:BR45"/>
    <mergeCell ref="BS45:BV45"/>
    <mergeCell ref="BW45:BZ45"/>
    <mergeCell ref="CA45:CD45"/>
    <mergeCell ref="AU44:AX44"/>
    <mergeCell ref="AY44:BB44"/>
    <mergeCell ref="BC44:BF44"/>
    <mergeCell ref="BG44:BJ44"/>
    <mergeCell ref="BK44:BN44"/>
    <mergeCell ref="BO44:BR44"/>
    <mergeCell ref="BS44:BV44"/>
    <mergeCell ref="BW44:BZ44"/>
    <mergeCell ref="CA44:CD44"/>
    <mergeCell ref="AU43:AX43"/>
    <mergeCell ref="AY43:BB43"/>
    <mergeCell ref="BC43:BF43"/>
    <mergeCell ref="BG43:BJ43"/>
    <mergeCell ref="BK43:BN43"/>
    <mergeCell ref="BO43:BR43"/>
    <mergeCell ref="BS43:BV43"/>
    <mergeCell ref="BW43:BZ43"/>
    <mergeCell ref="CA43:CD43"/>
    <mergeCell ref="AU42:AX42"/>
    <mergeCell ref="AY42:BB42"/>
    <mergeCell ref="BC42:BF42"/>
    <mergeCell ref="BG42:BJ42"/>
    <mergeCell ref="BK42:BN42"/>
    <mergeCell ref="BO42:BR42"/>
    <mergeCell ref="BS42:BV42"/>
    <mergeCell ref="BW42:BZ42"/>
    <mergeCell ref="CA42:CD42"/>
    <mergeCell ref="AU41:AX41"/>
    <mergeCell ref="AY41:BB41"/>
    <mergeCell ref="BC41:BF41"/>
    <mergeCell ref="BG41:BJ41"/>
    <mergeCell ref="BK41:BN41"/>
    <mergeCell ref="BO41:BR41"/>
    <mergeCell ref="BS41:BV41"/>
    <mergeCell ref="BW41:BZ41"/>
    <mergeCell ref="CA41:CD41"/>
    <mergeCell ref="AU40:AX40"/>
    <mergeCell ref="AY40:BB40"/>
    <mergeCell ref="BC40:BF40"/>
    <mergeCell ref="BG40:BJ40"/>
    <mergeCell ref="BK40:BN40"/>
    <mergeCell ref="BO40:BR40"/>
    <mergeCell ref="BS40:BV40"/>
    <mergeCell ref="BW40:BZ40"/>
    <mergeCell ref="CA40:CD40"/>
    <mergeCell ref="AU39:AX39"/>
    <mergeCell ref="AY39:BB39"/>
    <mergeCell ref="BC39:BF39"/>
    <mergeCell ref="BG39:BJ39"/>
    <mergeCell ref="BK39:BN39"/>
    <mergeCell ref="BO39:BR39"/>
    <mergeCell ref="BS39:BV39"/>
    <mergeCell ref="BW39:BZ39"/>
    <mergeCell ref="CA39:CD39"/>
    <mergeCell ref="AU38:AX38"/>
    <mergeCell ref="AY38:BB38"/>
    <mergeCell ref="BC38:BF38"/>
    <mergeCell ref="BG38:BJ38"/>
    <mergeCell ref="BK38:BN38"/>
    <mergeCell ref="BO38:BR38"/>
    <mergeCell ref="BS38:BV38"/>
    <mergeCell ref="BW38:BZ38"/>
    <mergeCell ref="CA38:CD38"/>
    <mergeCell ref="AU37:AX37"/>
    <mergeCell ref="AY37:BB37"/>
    <mergeCell ref="BC37:BF37"/>
    <mergeCell ref="BG37:BJ37"/>
    <mergeCell ref="BK37:BN37"/>
    <mergeCell ref="BO37:BR37"/>
    <mergeCell ref="BS37:BV37"/>
    <mergeCell ref="BW37:BZ37"/>
    <mergeCell ref="CA37:CD37"/>
    <mergeCell ref="AU36:AX36"/>
    <mergeCell ref="AY36:BB36"/>
    <mergeCell ref="BC36:BF36"/>
    <mergeCell ref="BG36:BJ36"/>
    <mergeCell ref="BK36:BN36"/>
    <mergeCell ref="BO36:BR36"/>
    <mergeCell ref="BS36:BV36"/>
    <mergeCell ref="BW36:BZ36"/>
    <mergeCell ref="CA36:CD36"/>
    <mergeCell ref="AU35:AX35"/>
    <mergeCell ref="AY35:BB35"/>
    <mergeCell ref="BC35:BF35"/>
    <mergeCell ref="BG35:BJ35"/>
    <mergeCell ref="BK35:BN35"/>
    <mergeCell ref="BO35:BR35"/>
    <mergeCell ref="BS35:BV35"/>
    <mergeCell ref="BW35:BZ35"/>
    <mergeCell ref="CA35:CD35"/>
    <mergeCell ref="AU34:AX34"/>
    <mergeCell ref="AY34:BB34"/>
    <mergeCell ref="BC34:BF34"/>
    <mergeCell ref="BG34:BJ34"/>
    <mergeCell ref="BK34:BN34"/>
    <mergeCell ref="BO34:BR34"/>
    <mergeCell ref="BS34:BV34"/>
    <mergeCell ref="BW34:BZ34"/>
    <mergeCell ref="CA34:CD34"/>
    <mergeCell ref="AU33:AX33"/>
    <mergeCell ref="AY33:BB33"/>
    <mergeCell ref="BC33:BF33"/>
    <mergeCell ref="BG33:BJ33"/>
    <mergeCell ref="BK33:BN33"/>
    <mergeCell ref="BO33:BR33"/>
    <mergeCell ref="BS33:BV33"/>
    <mergeCell ref="BW33:BZ33"/>
    <mergeCell ref="CA33:CD33"/>
    <mergeCell ref="AU32:AX32"/>
    <mergeCell ref="AY32:BB32"/>
    <mergeCell ref="BC32:BF32"/>
    <mergeCell ref="BG32:BJ32"/>
    <mergeCell ref="BK32:BN32"/>
    <mergeCell ref="BO32:BR32"/>
    <mergeCell ref="BS32:BV32"/>
    <mergeCell ref="BW32:BZ32"/>
    <mergeCell ref="CA32:CD32"/>
    <mergeCell ref="BS30:BV30"/>
    <mergeCell ref="BW30:BZ30"/>
    <mergeCell ref="CA30:CD30"/>
    <mergeCell ref="AU31:AX31"/>
    <mergeCell ref="AY31:BB31"/>
    <mergeCell ref="BC31:BF31"/>
    <mergeCell ref="BG31:BJ31"/>
    <mergeCell ref="BK31:BN31"/>
    <mergeCell ref="BO31:BR31"/>
    <mergeCell ref="BS31:BV31"/>
    <mergeCell ref="BW31:BZ31"/>
    <mergeCell ref="CA31:CD31"/>
    <mergeCell ref="AU30:AX30"/>
    <mergeCell ref="AY30:BB30"/>
    <mergeCell ref="BC30:BF30"/>
    <mergeCell ref="BG30:BJ30"/>
    <mergeCell ref="BK30:BN30"/>
    <mergeCell ref="BO30:BR30"/>
    <mergeCell ref="AY27:BB27"/>
    <mergeCell ref="BC27:BF27"/>
    <mergeCell ref="BG27:BJ27"/>
    <mergeCell ref="BK27:BN27"/>
    <mergeCell ref="BO27:BR27"/>
    <mergeCell ref="BS27:BV27"/>
    <mergeCell ref="BW27:BZ27"/>
    <mergeCell ref="CA27:CD27"/>
    <mergeCell ref="U28:V28"/>
    <mergeCell ref="CA28:CD28"/>
    <mergeCell ref="H28:I28"/>
    <mergeCell ref="O28:P28"/>
    <mergeCell ref="AY28:BB28"/>
    <mergeCell ref="BC28:BF28"/>
    <mergeCell ref="BG28:BJ28"/>
    <mergeCell ref="BK28:BN28"/>
    <mergeCell ref="BO28:BR28"/>
    <mergeCell ref="BS28:BV28"/>
    <mergeCell ref="BW28:BZ28"/>
    <mergeCell ref="W28:Z28"/>
    <mergeCell ref="AU28:AX28"/>
    <mergeCell ref="AU29:AX29"/>
    <mergeCell ref="AY29:BB29"/>
    <mergeCell ref="BC29:BF29"/>
    <mergeCell ref="BG29:BJ29"/>
    <mergeCell ref="BK29:BN29"/>
    <mergeCell ref="BO29:BR29"/>
    <mergeCell ref="BS29:BV29"/>
    <mergeCell ref="BW29:BZ29"/>
    <mergeCell ref="CA29:CD29"/>
    <mergeCell ref="J74:M74"/>
    <mergeCell ref="J75:M75"/>
    <mergeCell ref="U74:V74"/>
    <mergeCell ref="U75:V75"/>
    <mergeCell ref="O74:P74"/>
    <mergeCell ref="O75:P75"/>
    <mergeCell ref="J70:M70"/>
    <mergeCell ref="J71:M71"/>
    <mergeCell ref="J72:M72"/>
    <mergeCell ref="J73:M73"/>
    <mergeCell ref="Q70:T70"/>
    <mergeCell ref="Q71:T71"/>
    <mergeCell ref="Q72:T72"/>
    <mergeCell ref="Q73:T73"/>
    <mergeCell ref="AD75:AF75"/>
    <mergeCell ref="U70:V70"/>
    <mergeCell ref="U71:V71"/>
    <mergeCell ref="U72:V72"/>
    <mergeCell ref="U73:V73"/>
    <mergeCell ref="O70:P70"/>
    <mergeCell ref="O71:P71"/>
    <mergeCell ref="O72:P72"/>
    <mergeCell ref="O73:P73"/>
    <mergeCell ref="Q74:T74"/>
    <mergeCell ref="Q75:T75"/>
    <mergeCell ref="W70:Z70"/>
    <mergeCell ref="W71:Z71"/>
    <mergeCell ref="W72:Z72"/>
    <mergeCell ref="W73:Z73"/>
    <mergeCell ref="W74:Z74"/>
    <mergeCell ref="W75:Z75"/>
    <mergeCell ref="J66:M66"/>
    <mergeCell ref="J67:M67"/>
    <mergeCell ref="J68:M68"/>
    <mergeCell ref="J69:M69"/>
    <mergeCell ref="Q66:T66"/>
    <mergeCell ref="Q67:T67"/>
    <mergeCell ref="Q68:T68"/>
    <mergeCell ref="Q69:T69"/>
    <mergeCell ref="W66:Z66"/>
    <mergeCell ref="W67:Z67"/>
    <mergeCell ref="W68:Z68"/>
    <mergeCell ref="U67:V67"/>
    <mergeCell ref="U68:V68"/>
    <mergeCell ref="U69:V69"/>
    <mergeCell ref="O66:P66"/>
    <mergeCell ref="O67:P67"/>
    <mergeCell ref="O68:P68"/>
    <mergeCell ref="O69:P69"/>
    <mergeCell ref="W69:Z69"/>
    <mergeCell ref="U41:V41"/>
    <mergeCell ref="U42:V42"/>
    <mergeCell ref="U43:V43"/>
    <mergeCell ref="U44:V44"/>
    <mergeCell ref="AD14:AF14"/>
    <mergeCell ref="AD15:AF15"/>
    <mergeCell ref="AD16:AF16"/>
    <mergeCell ref="AD17:AF17"/>
    <mergeCell ref="AD18:AF18"/>
    <mergeCell ref="AD19:AF19"/>
    <mergeCell ref="AD20:AF20"/>
    <mergeCell ref="AD36:AF36"/>
    <mergeCell ref="AD37:AF37"/>
    <mergeCell ref="AD38:AF38"/>
    <mergeCell ref="AD39:AF39"/>
    <mergeCell ref="AD40:AF40"/>
    <mergeCell ref="AD10:AF10"/>
    <mergeCell ref="AD11:AF11"/>
    <mergeCell ref="AD12:AF12"/>
    <mergeCell ref="AD13:AF13"/>
    <mergeCell ref="U36:V36"/>
    <mergeCell ref="U37:V37"/>
    <mergeCell ref="U38:V38"/>
    <mergeCell ref="U39:V39"/>
    <mergeCell ref="U40:V40"/>
    <mergeCell ref="AD21:AF21"/>
    <mergeCell ref="AD22:AF22"/>
    <mergeCell ref="AD23:AF23"/>
    <mergeCell ref="AD24:AF24"/>
    <mergeCell ref="AD25:AF25"/>
    <mergeCell ref="AD26:AF26"/>
    <mergeCell ref="AD27:AF27"/>
    <mergeCell ref="AD28:AF28"/>
    <mergeCell ref="AD29:AF29"/>
    <mergeCell ref="AD30:AF30"/>
    <mergeCell ref="AD31:AF31"/>
    <mergeCell ref="AD32:AF32"/>
    <mergeCell ref="AD33:AF33"/>
    <mergeCell ref="AD34:AF34"/>
    <mergeCell ref="AD35:AF35"/>
    <mergeCell ref="AD55:AF55"/>
    <mergeCell ref="AD56:AF56"/>
    <mergeCell ref="J54:M54"/>
    <mergeCell ref="J55:M55"/>
    <mergeCell ref="J56:M56"/>
    <mergeCell ref="Q55:T55"/>
    <mergeCell ref="Q56:T56"/>
    <mergeCell ref="W55:Z55"/>
    <mergeCell ref="W56:Z56"/>
    <mergeCell ref="AD54:AF54"/>
    <mergeCell ref="O56:P56"/>
    <mergeCell ref="AD52:AF52"/>
    <mergeCell ref="AD53:AF53"/>
    <mergeCell ref="J49:M49"/>
    <mergeCell ref="J50:M50"/>
    <mergeCell ref="Q53:T53"/>
    <mergeCell ref="Q54:T54"/>
    <mergeCell ref="U49:V49"/>
    <mergeCell ref="U50:V50"/>
    <mergeCell ref="U51:V51"/>
    <mergeCell ref="AD45:AF45"/>
    <mergeCell ref="AD46:AF46"/>
    <mergeCell ref="AD47:AF47"/>
    <mergeCell ref="AD48:AF48"/>
    <mergeCell ref="AD49:AF49"/>
    <mergeCell ref="AD50:AF50"/>
    <mergeCell ref="AD51:AF51"/>
    <mergeCell ref="AD41:AF41"/>
    <mergeCell ref="AD42:AF42"/>
    <mergeCell ref="AD43:AF43"/>
    <mergeCell ref="AD44:AF44"/>
    <mergeCell ref="AD57:AF57"/>
    <mergeCell ref="AD58:AF58"/>
    <mergeCell ref="AD59:AF59"/>
    <mergeCell ref="AD60:AF60"/>
    <mergeCell ref="AD61:AF61"/>
    <mergeCell ref="AD62:AF62"/>
    <mergeCell ref="AD63:AF63"/>
    <mergeCell ref="AD64:AF64"/>
    <mergeCell ref="AD65:AF65"/>
    <mergeCell ref="AD66:AF66"/>
    <mergeCell ref="AD67:AF67"/>
    <mergeCell ref="AD68:AF68"/>
    <mergeCell ref="AD69:AF69"/>
    <mergeCell ref="AD70:AF70"/>
    <mergeCell ref="AD71:AF71"/>
    <mergeCell ref="AD72:AF72"/>
    <mergeCell ref="AD73:AF73"/>
    <mergeCell ref="AD74:AF74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  <mergeCell ref="J48:M48"/>
    <mergeCell ref="J61:M61"/>
    <mergeCell ref="J62:M62"/>
    <mergeCell ref="J63:M63"/>
    <mergeCell ref="J64:M64"/>
    <mergeCell ref="J65:M65"/>
    <mergeCell ref="Q28:T28"/>
    <mergeCell ref="Q29:T29"/>
    <mergeCell ref="Q30:T30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Q52:T52"/>
    <mergeCell ref="Q57:T57"/>
    <mergeCell ref="Q58:T58"/>
    <mergeCell ref="Q59:T59"/>
    <mergeCell ref="Q60:T60"/>
    <mergeCell ref="Q61:T61"/>
    <mergeCell ref="Q62:T62"/>
    <mergeCell ref="Q63:T63"/>
    <mergeCell ref="Q64:T64"/>
    <mergeCell ref="Q65:T65"/>
    <mergeCell ref="W29:Z29"/>
    <mergeCell ref="W30:Z30"/>
    <mergeCell ref="W31:Z31"/>
    <mergeCell ref="W32:Z32"/>
    <mergeCell ref="W33:Z33"/>
    <mergeCell ref="W34:Z34"/>
    <mergeCell ref="W35:Z35"/>
    <mergeCell ref="W36:Z36"/>
    <mergeCell ref="W37:Z37"/>
    <mergeCell ref="W38:Z38"/>
    <mergeCell ref="W39:Z39"/>
    <mergeCell ref="W40:Z40"/>
    <mergeCell ref="W41:Z41"/>
    <mergeCell ref="W42:Z42"/>
    <mergeCell ref="W43:Z43"/>
    <mergeCell ref="W44:Z44"/>
    <mergeCell ref="W45:Z45"/>
    <mergeCell ref="W63:Z63"/>
    <mergeCell ref="W64:Z64"/>
    <mergeCell ref="W65:Z65"/>
    <mergeCell ref="W46:Z46"/>
    <mergeCell ref="W47:Z47"/>
    <mergeCell ref="W48:Z48"/>
    <mergeCell ref="W49:Z49"/>
    <mergeCell ref="W50:Z50"/>
    <mergeCell ref="W51:Z51"/>
    <mergeCell ref="W52:Z52"/>
    <mergeCell ref="W53:Z53"/>
    <mergeCell ref="W54:Z54"/>
    <mergeCell ref="W57:Z57"/>
    <mergeCell ref="W58:Z58"/>
    <mergeCell ref="W59:Z59"/>
    <mergeCell ref="W60:Z60"/>
    <mergeCell ref="W61:Z61"/>
    <mergeCell ref="W62:Z62"/>
    <mergeCell ref="AL12:AO12"/>
    <mergeCell ref="AL11:AO11"/>
    <mergeCell ref="AL13:AO13"/>
    <mergeCell ref="AL14:AO14"/>
    <mergeCell ref="AL15:AO15"/>
    <mergeCell ref="AL16:AO16"/>
    <mergeCell ref="AL17:AO17"/>
    <mergeCell ref="AL18:AO18"/>
    <mergeCell ref="AL19:AO19"/>
    <mergeCell ref="AL20:AO20"/>
    <mergeCell ref="AL21:AO21"/>
    <mergeCell ref="AL22:AO22"/>
    <mergeCell ref="AL23:AO23"/>
    <mergeCell ref="AL24:AO24"/>
    <mergeCell ref="AL25:AO25"/>
    <mergeCell ref="AL26:AO26"/>
    <mergeCell ref="AL27:AO27"/>
    <mergeCell ref="AL28:AO28"/>
    <mergeCell ref="AL29:AO29"/>
    <mergeCell ref="AL30:AO30"/>
    <mergeCell ref="AL31:AO31"/>
    <mergeCell ref="AL32:AO32"/>
    <mergeCell ref="AL33:AO33"/>
    <mergeCell ref="AL34:AO34"/>
    <mergeCell ref="AL35:AO35"/>
    <mergeCell ref="AL36:AO36"/>
    <mergeCell ref="AL37:AO37"/>
    <mergeCell ref="AL38:AO38"/>
    <mergeCell ref="AL39:AO39"/>
    <mergeCell ref="AL40:AO40"/>
    <mergeCell ref="AL41:AO41"/>
    <mergeCell ref="AL42:AO42"/>
    <mergeCell ref="AL43:AO43"/>
    <mergeCell ref="AL44:AO44"/>
    <mergeCell ref="AL45:AO45"/>
    <mergeCell ref="AL46:AO46"/>
    <mergeCell ref="AL47:AO47"/>
    <mergeCell ref="AL48:AO48"/>
    <mergeCell ref="AL49:AO49"/>
    <mergeCell ref="AL50:AO50"/>
    <mergeCell ref="AL51:AO51"/>
    <mergeCell ref="AL52:AO52"/>
    <mergeCell ref="AL53:AO53"/>
    <mergeCell ref="AL54:AO54"/>
    <mergeCell ref="AL55:AO55"/>
    <mergeCell ref="AL56:AO56"/>
    <mergeCell ref="AL57:AO57"/>
    <mergeCell ref="AL58:AO58"/>
    <mergeCell ref="AL59:AO59"/>
    <mergeCell ref="AL60:AO60"/>
    <mergeCell ref="AL61:AO61"/>
    <mergeCell ref="AL62:AO62"/>
    <mergeCell ref="AL63:AO63"/>
    <mergeCell ref="AL64:AO64"/>
    <mergeCell ref="AL74:AO74"/>
    <mergeCell ref="AL75:AO75"/>
    <mergeCell ref="AL65:AO65"/>
    <mergeCell ref="AL66:AO66"/>
    <mergeCell ref="AL67:AO67"/>
    <mergeCell ref="AL68:AO68"/>
    <mergeCell ref="AL69:AO69"/>
    <mergeCell ref="AL70:AO70"/>
    <mergeCell ref="AL71:AO71"/>
    <mergeCell ref="AL72:AO72"/>
    <mergeCell ref="AL73:AO7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A69"/>
  <sheetViews>
    <sheetView workbookViewId="0">
      <selection activeCell="B49" sqref="B49"/>
    </sheetView>
  </sheetViews>
  <sheetFormatPr defaultRowHeight="17.399999999999999"/>
  <cols>
    <col min="2" max="2" width="11.19921875" bestFit="1" customWidth="1"/>
    <col min="3" max="3" width="12.3984375" customWidth="1"/>
    <col min="4" max="4" width="5.19921875" bestFit="1" customWidth="1"/>
    <col min="5" max="28" width="3.09765625" customWidth="1"/>
  </cols>
  <sheetData>
    <row r="2" spans="1:53" ht="21">
      <c r="A2" s="3"/>
      <c r="B2" s="2" t="s">
        <v>116</v>
      </c>
      <c r="C2" s="1" t="s">
        <v>117</v>
      </c>
      <c r="BA2" t="s">
        <v>23</v>
      </c>
    </row>
    <row r="3" spans="1:53">
      <c r="A3" s="3"/>
      <c r="C3" s="1" t="s">
        <v>120</v>
      </c>
    </row>
    <row r="4" spans="1:53">
      <c r="A4" s="3"/>
      <c r="C4" s="1"/>
    </row>
    <row r="5" spans="1:53">
      <c r="B5" s="20"/>
      <c r="C5" s="20" t="s">
        <v>185</v>
      </c>
      <c r="D5" s="20" t="s">
        <v>248</v>
      </c>
    </row>
    <row r="6" spans="1:53">
      <c r="B6" s="25" t="s">
        <v>121</v>
      </c>
      <c r="C6" s="17" t="s">
        <v>186</v>
      </c>
      <c r="D6" s="20">
        <f>LEN(C6)</f>
        <v>8</v>
      </c>
    </row>
    <row r="7" spans="1:53">
      <c r="B7" s="25" t="s">
        <v>122</v>
      </c>
      <c r="C7" s="17">
        <v>71374491</v>
      </c>
      <c r="D7" s="20">
        <f t="shared" ref="D7:D69" si="0">LEN(C7)</f>
        <v>8</v>
      </c>
    </row>
    <row r="8" spans="1:53">
      <c r="B8" s="25" t="s">
        <v>123</v>
      </c>
      <c r="C8" s="17" t="s">
        <v>187</v>
      </c>
      <c r="D8" s="20">
        <f t="shared" si="0"/>
        <v>8</v>
      </c>
    </row>
    <row r="9" spans="1:53">
      <c r="B9" s="25" t="s">
        <v>124</v>
      </c>
      <c r="C9" s="17" t="s">
        <v>188</v>
      </c>
      <c r="D9" s="20">
        <f t="shared" si="0"/>
        <v>8</v>
      </c>
    </row>
    <row r="10" spans="1:53">
      <c r="B10" s="25" t="s">
        <v>125</v>
      </c>
      <c r="C10" s="17" t="s">
        <v>189</v>
      </c>
      <c r="D10" s="20">
        <f t="shared" si="0"/>
        <v>8</v>
      </c>
    </row>
    <row r="11" spans="1:53">
      <c r="B11" s="25" t="s">
        <v>126</v>
      </c>
      <c r="C11" s="17" t="s">
        <v>190</v>
      </c>
      <c r="D11" s="20">
        <f t="shared" si="0"/>
        <v>8</v>
      </c>
    </row>
    <row r="12" spans="1:53">
      <c r="B12" s="25" t="s">
        <v>127</v>
      </c>
      <c r="C12" s="17" t="s">
        <v>191</v>
      </c>
      <c r="D12" s="20">
        <f t="shared" si="0"/>
        <v>8</v>
      </c>
    </row>
    <row r="13" spans="1:53">
      <c r="B13" s="25" t="s">
        <v>128</v>
      </c>
      <c r="C13" s="17" t="s">
        <v>192</v>
      </c>
      <c r="D13" s="20">
        <f t="shared" si="0"/>
        <v>8</v>
      </c>
    </row>
    <row r="14" spans="1:53">
      <c r="B14" s="25" t="s">
        <v>129</v>
      </c>
      <c r="C14" s="17" t="s">
        <v>193</v>
      </c>
      <c r="D14" s="20">
        <f t="shared" si="0"/>
        <v>8</v>
      </c>
    </row>
    <row r="15" spans="1:53">
      <c r="B15" s="25" t="s">
        <v>130</v>
      </c>
      <c r="C15" s="17" t="s">
        <v>194</v>
      </c>
      <c r="D15" s="20">
        <f t="shared" si="0"/>
        <v>8</v>
      </c>
    </row>
    <row r="16" spans="1:53">
      <c r="B16" s="25" t="s">
        <v>131</v>
      </c>
      <c r="C16" s="17" t="s">
        <v>195</v>
      </c>
      <c r="D16" s="20">
        <f t="shared" si="0"/>
        <v>8</v>
      </c>
    </row>
    <row r="17" spans="2:4">
      <c r="B17" s="25" t="s">
        <v>132</v>
      </c>
      <c r="C17" s="17" t="s">
        <v>196</v>
      </c>
      <c r="D17" s="20">
        <f t="shared" si="0"/>
        <v>8</v>
      </c>
    </row>
    <row r="18" spans="2:4">
      <c r="B18" s="25" t="s">
        <v>133</v>
      </c>
      <c r="C18" s="17" t="s">
        <v>197</v>
      </c>
      <c r="D18" s="20">
        <f t="shared" si="0"/>
        <v>8</v>
      </c>
    </row>
    <row r="19" spans="2:4">
      <c r="B19" s="25" t="s">
        <v>134</v>
      </c>
      <c r="C19" s="17" t="s">
        <v>198</v>
      </c>
      <c r="D19" s="20">
        <f t="shared" si="0"/>
        <v>8</v>
      </c>
    </row>
    <row r="20" spans="2:4">
      <c r="B20" s="25" t="s">
        <v>135</v>
      </c>
      <c r="C20" s="17" t="s">
        <v>199</v>
      </c>
      <c r="D20" s="20">
        <f t="shared" si="0"/>
        <v>8</v>
      </c>
    </row>
    <row r="21" spans="2:4">
      <c r="B21" s="25" t="s">
        <v>136</v>
      </c>
      <c r="C21" s="17" t="s">
        <v>200</v>
      </c>
      <c r="D21" s="20">
        <f t="shared" si="0"/>
        <v>8</v>
      </c>
    </row>
    <row r="22" spans="2:4">
      <c r="B22" s="25" t="s">
        <v>137</v>
      </c>
      <c r="C22" s="17" t="s">
        <v>201</v>
      </c>
      <c r="D22" s="20">
        <f t="shared" si="0"/>
        <v>8</v>
      </c>
    </row>
    <row r="23" spans="2:4">
      <c r="B23" s="25" t="s">
        <v>138</v>
      </c>
      <c r="C23" s="17" t="s">
        <v>202</v>
      </c>
      <c r="D23" s="20">
        <f t="shared" si="0"/>
        <v>8</v>
      </c>
    </row>
    <row r="24" spans="2:4">
      <c r="B24" s="25" t="s">
        <v>139</v>
      </c>
      <c r="C24" s="17" t="s">
        <v>203</v>
      </c>
      <c r="D24" s="20">
        <f t="shared" si="0"/>
        <v>8</v>
      </c>
    </row>
    <row r="25" spans="2:4">
      <c r="B25" s="25" t="s">
        <v>140</v>
      </c>
      <c r="C25" s="17" t="s">
        <v>204</v>
      </c>
      <c r="D25" s="20">
        <f t="shared" si="0"/>
        <v>8</v>
      </c>
    </row>
    <row r="26" spans="2:4">
      <c r="B26" s="25" t="s">
        <v>141</v>
      </c>
      <c r="C26" s="17" t="s">
        <v>205</v>
      </c>
      <c r="D26" s="20">
        <f t="shared" si="0"/>
        <v>8</v>
      </c>
    </row>
    <row r="27" spans="2:4">
      <c r="B27" s="25" t="s">
        <v>142</v>
      </c>
      <c r="C27" s="17" t="s">
        <v>206</v>
      </c>
      <c r="D27" s="20">
        <f t="shared" si="0"/>
        <v>8</v>
      </c>
    </row>
    <row r="28" spans="2:4">
      <c r="B28" s="25" t="s">
        <v>143</v>
      </c>
      <c r="C28" s="17" t="s">
        <v>207</v>
      </c>
      <c r="D28" s="20">
        <f t="shared" si="0"/>
        <v>8</v>
      </c>
    </row>
    <row r="29" spans="2:4">
      <c r="B29" s="25" t="s">
        <v>144</v>
      </c>
      <c r="C29" s="17" t="s">
        <v>208</v>
      </c>
      <c r="D29" s="20">
        <f t="shared" si="0"/>
        <v>8</v>
      </c>
    </row>
    <row r="30" spans="2:4">
      <c r="B30" s="25" t="s">
        <v>145</v>
      </c>
      <c r="C30" s="17" t="s">
        <v>209</v>
      </c>
      <c r="D30" s="20">
        <f t="shared" si="0"/>
        <v>8</v>
      </c>
    </row>
    <row r="31" spans="2:4">
      <c r="B31" s="25" t="s">
        <v>146</v>
      </c>
      <c r="C31" s="17" t="s">
        <v>210</v>
      </c>
      <c r="D31" s="20">
        <f t="shared" si="0"/>
        <v>8</v>
      </c>
    </row>
    <row r="32" spans="2:4">
      <c r="B32" s="25" t="s">
        <v>147</v>
      </c>
      <c r="C32" s="17" t="s">
        <v>211</v>
      </c>
      <c r="D32" s="20">
        <f t="shared" si="0"/>
        <v>8</v>
      </c>
    </row>
    <row r="33" spans="2:4">
      <c r="B33" s="25" t="s">
        <v>148</v>
      </c>
      <c r="C33" s="17" t="s">
        <v>212</v>
      </c>
      <c r="D33" s="20">
        <f t="shared" si="0"/>
        <v>8</v>
      </c>
    </row>
    <row r="34" spans="2:4">
      <c r="B34" s="25" t="s">
        <v>149</v>
      </c>
      <c r="C34" s="17" t="s">
        <v>213</v>
      </c>
      <c r="D34" s="20">
        <f t="shared" si="0"/>
        <v>8</v>
      </c>
    </row>
    <row r="35" spans="2:4">
      <c r="B35" s="25" t="s">
        <v>150</v>
      </c>
      <c r="C35" s="17" t="s">
        <v>214</v>
      </c>
      <c r="D35" s="20">
        <f t="shared" si="0"/>
        <v>8</v>
      </c>
    </row>
    <row r="36" spans="2:4">
      <c r="B36" s="25" t="s">
        <v>151</v>
      </c>
      <c r="C36" s="17" t="s">
        <v>215</v>
      </c>
      <c r="D36" s="20">
        <f t="shared" si="0"/>
        <v>8</v>
      </c>
    </row>
    <row r="37" spans="2:4">
      <c r="B37" s="25" t="s">
        <v>152</v>
      </c>
      <c r="C37" s="17">
        <v>14292967</v>
      </c>
      <c r="D37" s="20">
        <f t="shared" si="0"/>
        <v>8</v>
      </c>
    </row>
    <row r="38" spans="2:4">
      <c r="B38" s="25" t="s">
        <v>153</v>
      </c>
      <c r="C38" s="17" t="s">
        <v>216</v>
      </c>
      <c r="D38" s="20">
        <f t="shared" si="0"/>
        <v>8</v>
      </c>
    </row>
    <row r="39" spans="2:4">
      <c r="B39" s="25" t="s">
        <v>154</v>
      </c>
      <c r="C39" s="17" t="s">
        <v>217</v>
      </c>
      <c r="D39" s="20">
        <f t="shared" si="0"/>
        <v>8</v>
      </c>
    </row>
    <row r="40" spans="2:4">
      <c r="B40" s="25" t="s">
        <v>155</v>
      </c>
      <c r="C40" s="17" t="s">
        <v>218</v>
      </c>
      <c r="D40" s="20">
        <f t="shared" si="0"/>
        <v>8</v>
      </c>
    </row>
    <row r="41" spans="2:4">
      <c r="B41" s="25" t="s">
        <v>156</v>
      </c>
      <c r="C41" s="17" t="s">
        <v>219</v>
      </c>
      <c r="D41" s="20">
        <f t="shared" si="0"/>
        <v>8</v>
      </c>
    </row>
    <row r="42" spans="2:4">
      <c r="B42" s="25" t="s">
        <v>157</v>
      </c>
      <c r="C42" s="17" t="s">
        <v>220</v>
      </c>
      <c r="D42" s="20">
        <f t="shared" si="0"/>
        <v>8</v>
      </c>
    </row>
    <row r="43" spans="2:4">
      <c r="B43" s="25" t="s">
        <v>158</v>
      </c>
      <c r="C43" s="17" t="s">
        <v>221</v>
      </c>
      <c r="D43" s="20">
        <f t="shared" si="0"/>
        <v>8</v>
      </c>
    </row>
    <row r="44" spans="2:4">
      <c r="B44" s="25" t="s">
        <v>159</v>
      </c>
      <c r="C44" s="17" t="s">
        <v>222</v>
      </c>
      <c r="D44" s="20">
        <f t="shared" si="0"/>
        <v>8</v>
      </c>
    </row>
    <row r="45" spans="2:4">
      <c r="B45" s="25" t="s">
        <v>160</v>
      </c>
      <c r="C45" s="17" t="s">
        <v>223</v>
      </c>
      <c r="D45" s="20">
        <f t="shared" si="0"/>
        <v>8</v>
      </c>
    </row>
    <row r="46" spans="2:4">
      <c r="B46" s="25" t="s">
        <v>161</v>
      </c>
      <c r="C46" s="17" t="s">
        <v>224</v>
      </c>
      <c r="D46" s="20">
        <f t="shared" si="0"/>
        <v>8</v>
      </c>
    </row>
    <row r="47" spans="2:4">
      <c r="B47" s="25" t="s">
        <v>162</v>
      </c>
      <c r="C47" s="17" t="s">
        <v>225</v>
      </c>
      <c r="D47" s="20">
        <f t="shared" si="0"/>
        <v>8</v>
      </c>
    </row>
    <row r="48" spans="2:4">
      <c r="B48" s="25" t="s">
        <v>163</v>
      </c>
      <c r="C48" s="17" t="s">
        <v>226</v>
      </c>
      <c r="D48" s="20">
        <f t="shared" si="0"/>
        <v>8</v>
      </c>
    </row>
    <row r="49" spans="2:4">
      <c r="B49" s="25" t="s">
        <v>164</v>
      </c>
      <c r="C49" s="17" t="s">
        <v>227</v>
      </c>
      <c r="D49" s="20">
        <f t="shared" si="0"/>
        <v>8</v>
      </c>
    </row>
    <row r="50" spans="2:4">
      <c r="B50" s="25" t="s">
        <v>165</v>
      </c>
      <c r="C50" s="17" t="s">
        <v>228</v>
      </c>
      <c r="D50" s="20">
        <f t="shared" si="0"/>
        <v>8</v>
      </c>
    </row>
    <row r="51" spans="2:4">
      <c r="B51" s="25" t="s">
        <v>166</v>
      </c>
      <c r="C51" s="17" t="s">
        <v>229</v>
      </c>
      <c r="D51" s="20">
        <f t="shared" si="0"/>
        <v>8</v>
      </c>
    </row>
    <row r="52" spans="2:4">
      <c r="B52" s="25" t="s">
        <v>167</v>
      </c>
      <c r="C52" s="17" t="s">
        <v>230</v>
      </c>
      <c r="D52" s="20">
        <f t="shared" si="0"/>
        <v>8</v>
      </c>
    </row>
    <row r="53" spans="2:4">
      <c r="B53" s="25" t="s">
        <v>168</v>
      </c>
      <c r="C53" s="17" t="s">
        <v>231</v>
      </c>
      <c r="D53" s="20">
        <f t="shared" si="0"/>
        <v>8</v>
      </c>
    </row>
    <row r="54" spans="2:4">
      <c r="B54" s="25" t="s">
        <v>169</v>
      </c>
      <c r="C54" s="17" t="s">
        <v>232</v>
      </c>
      <c r="D54" s="20">
        <f t="shared" si="0"/>
        <v>8</v>
      </c>
    </row>
    <row r="55" spans="2:4">
      <c r="B55" s="25" t="s">
        <v>170</v>
      </c>
      <c r="C55" s="17" t="s">
        <v>233</v>
      </c>
      <c r="D55" s="20">
        <f t="shared" si="0"/>
        <v>8</v>
      </c>
    </row>
    <row r="56" spans="2:4">
      <c r="B56" s="25" t="s">
        <v>171</v>
      </c>
      <c r="C56" s="17" t="s">
        <v>234</v>
      </c>
      <c r="D56" s="20">
        <f t="shared" si="0"/>
        <v>8</v>
      </c>
    </row>
    <row r="57" spans="2:4">
      <c r="B57" s="25" t="s">
        <v>172</v>
      </c>
      <c r="C57" s="17" t="s">
        <v>235</v>
      </c>
      <c r="D57" s="20">
        <f t="shared" si="0"/>
        <v>8</v>
      </c>
    </row>
    <row r="58" spans="2:4">
      <c r="B58" s="25" t="s">
        <v>173</v>
      </c>
      <c r="C58" s="17" t="s">
        <v>236</v>
      </c>
      <c r="D58" s="20">
        <f t="shared" si="0"/>
        <v>8</v>
      </c>
    </row>
    <row r="59" spans="2:4">
      <c r="B59" s="25" t="s">
        <v>174</v>
      </c>
      <c r="C59" s="17" t="s">
        <v>237</v>
      </c>
      <c r="D59" s="20">
        <f t="shared" si="0"/>
        <v>8</v>
      </c>
    </row>
    <row r="60" spans="2:4">
      <c r="B60" s="25" t="s">
        <v>175</v>
      </c>
      <c r="C60" s="17" t="s">
        <v>238</v>
      </c>
      <c r="D60" s="20">
        <f t="shared" si="0"/>
        <v>8</v>
      </c>
    </row>
    <row r="61" spans="2:4">
      <c r="B61" s="25" t="s">
        <v>176</v>
      </c>
      <c r="C61" s="17" t="s">
        <v>239</v>
      </c>
      <c r="D61" s="20">
        <f t="shared" si="0"/>
        <v>8</v>
      </c>
    </row>
    <row r="62" spans="2:4">
      <c r="B62" s="25" t="s">
        <v>177</v>
      </c>
      <c r="C62" s="17" t="s">
        <v>240</v>
      </c>
      <c r="D62" s="20">
        <f t="shared" si="0"/>
        <v>8</v>
      </c>
    </row>
    <row r="63" spans="2:4">
      <c r="B63" s="25" t="s">
        <v>178</v>
      </c>
      <c r="C63" s="17" t="s">
        <v>241</v>
      </c>
      <c r="D63" s="20">
        <f t="shared" si="0"/>
        <v>8</v>
      </c>
    </row>
    <row r="64" spans="2:4">
      <c r="B64" s="25" t="s">
        <v>179</v>
      </c>
      <c r="C64" s="17" t="s">
        <v>242</v>
      </c>
      <c r="D64" s="20">
        <f t="shared" si="0"/>
        <v>8</v>
      </c>
    </row>
    <row r="65" spans="2:4">
      <c r="B65" s="25" t="s">
        <v>180</v>
      </c>
      <c r="C65" s="17" t="s">
        <v>243</v>
      </c>
      <c r="D65" s="20">
        <f t="shared" si="0"/>
        <v>8</v>
      </c>
    </row>
    <row r="66" spans="2:4">
      <c r="B66" s="25" t="s">
        <v>181</v>
      </c>
      <c r="C66" s="17" t="s">
        <v>244</v>
      </c>
      <c r="D66" s="20">
        <f t="shared" si="0"/>
        <v>8</v>
      </c>
    </row>
    <row r="67" spans="2:4">
      <c r="B67" s="25" t="s">
        <v>182</v>
      </c>
      <c r="C67" s="17" t="s">
        <v>245</v>
      </c>
      <c r="D67" s="20">
        <f t="shared" si="0"/>
        <v>8</v>
      </c>
    </row>
    <row r="68" spans="2:4">
      <c r="B68" s="25" t="s">
        <v>183</v>
      </c>
      <c r="C68" s="17" t="s">
        <v>246</v>
      </c>
      <c r="D68" s="20">
        <f t="shared" si="0"/>
        <v>8</v>
      </c>
    </row>
    <row r="69" spans="2:4">
      <c r="B69" s="25" t="s">
        <v>184</v>
      </c>
      <c r="C69" s="17" t="s">
        <v>247</v>
      </c>
      <c r="D69" s="20">
        <f t="shared" si="0"/>
        <v>8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N585"/>
  <sheetViews>
    <sheetView topLeftCell="A18" zoomScale="115" zoomScaleNormal="115" workbookViewId="0">
      <selection activeCell="C9" sqref="C9"/>
    </sheetView>
  </sheetViews>
  <sheetFormatPr defaultRowHeight="17.399999999999999"/>
  <cols>
    <col min="2" max="2" width="17.5" bestFit="1" customWidth="1"/>
    <col min="3" max="8" width="11.59765625" customWidth="1"/>
    <col min="9" max="10" width="11.59765625" style="1" customWidth="1"/>
    <col min="11" max="11" width="10.59765625" style="1" customWidth="1"/>
  </cols>
  <sheetData>
    <row r="2" spans="1:66" ht="21">
      <c r="A2" s="3"/>
      <c r="B2" s="2" t="s">
        <v>446</v>
      </c>
      <c r="C2" s="1" t="s">
        <v>447</v>
      </c>
      <c r="J2" s="1" t="s">
        <v>448</v>
      </c>
      <c r="L2" s="1" t="s">
        <v>449</v>
      </c>
      <c r="BN2" t="s">
        <v>450</v>
      </c>
    </row>
    <row r="3" spans="1:66">
      <c r="A3" s="3"/>
      <c r="C3" s="1" t="s">
        <v>451</v>
      </c>
      <c r="J3" s="1" t="s">
        <v>452</v>
      </c>
      <c r="L3" s="1" t="s">
        <v>453</v>
      </c>
    </row>
    <row r="4" spans="1:66">
      <c r="A4" s="3"/>
      <c r="C4" s="1" t="s">
        <v>454</v>
      </c>
      <c r="J4" s="1" t="s">
        <v>455</v>
      </c>
    </row>
    <row r="6" spans="1:66">
      <c r="A6" s="7" t="s">
        <v>456</v>
      </c>
      <c r="B6" s="26">
        <v>1</v>
      </c>
      <c r="C6" s="27" t="s">
        <v>457</v>
      </c>
      <c r="D6" s="27" t="s">
        <v>458</v>
      </c>
      <c r="E6" s="27" t="s">
        <v>459</v>
      </c>
      <c r="F6" s="27" t="s">
        <v>460</v>
      </c>
      <c r="G6" s="27" t="s">
        <v>461</v>
      </c>
      <c r="H6" s="27" t="s">
        <v>462</v>
      </c>
      <c r="I6" s="27" t="s">
        <v>463</v>
      </c>
      <c r="J6" s="27" t="s">
        <v>464</v>
      </c>
      <c r="K6" s="26"/>
    </row>
    <row r="7" spans="1:66">
      <c r="B7" s="1" t="s">
        <v>465</v>
      </c>
      <c r="C7" s="31" t="s">
        <v>1451</v>
      </c>
      <c r="D7" s="32" t="s">
        <v>1452</v>
      </c>
      <c r="E7" s="32" t="s">
        <v>1453</v>
      </c>
      <c r="F7" s="32" t="s">
        <v>469</v>
      </c>
      <c r="G7" s="32" t="s">
        <v>1439</v>
      </c>
      <c r="H7" s="32" t="s">
        <v>1458</v>
      </c>
      <c r="I7" s="32" t="s">
        <v>1471</v>
      </c>
      <c r="J7" s="32" t="s">
        <v>473</v>
      </c>
      <c r="K7" s="26"/>
    </row>
    <row r="8" spans="1:66">
      <c r="C8" s="17" t="s">
        <v>474</v>
      </c>
      <c r="D8" s="17" t="s">
        <v>1474</v>
      </c>
      <c r="E8" s="17" t="s">
        <v>1475</v>
      </c>
      <c r="F8" s="17" t="s">
        <v>1476</v>
      </c>
      <c r="G8" s="17" t="s">
        <v>1477</v>
      </c>
      <c r="H8" s="17" t="s">
        <v>1478</v>
      </c>
      <c r="I8" s="17" t="s">
        <v>479</v>
      </c>
      <c r="J8" s="17" t="s">
        <v>480</v>
      </c>
      <c r="K8" s="17" t="s">
        <v>481</v>
      </c>
      <c r="M8" s="38" t="s">
        <v>1482</v>
      </c>
    </row>
    <row r="9" spans="1:66">
      <c r="C9" s="36" t="str">
        <f>RIGHT(DEC2HEX(HEX2DEC(D9)+HEX2DEC(E9)+HEX2DEC(F9)+HEX2DEC(G9)+HEX2DEC(H9)), 8)</f>
        <v>47E05288</v>
      </c>
      <c r="D9" s="17" t="s">
        <v>1472</v>
      </c>
      <c r="E9" s="36" t="str">
        <f>DEC2HEX(_xlfn.BITXOR(_xlfn.BITXOR(HEX2DEC(I9), HEX2DEC(J9)), HEX2DEC(K9)))</f>
        <v>3587272B</v>
      </c>
      <c r="F9" s="36" t="str">
        <f>DEC2HEX(_xlfn.BITXOR(_xlfn.BITAND(HEX2DEC(G7), HEX2DEC(H7)), _xlfn.BITAND(_xlfn.BITXOR(HEX2DEC("FFFFFFFF"), HEX2DEC(G7)), HEX2DEC(I7))))</f>
        <v>1F85C98C</v>
      </c>
      <c r="G9" s="17" t="s">
        <v>1473</v>
      </c>
      <c r="H9" s="36" t="str">
        <f>메시지스케줄!AL12</f>
        <v>54686520</v>
      </c>
      <c r="I9" s="17" t="s">
        <v>482</v>
      </c>
      <c r="J9" s="17" t="s">
        <v>483</v>
      </c>
      <c r="K9" s="17" t="s">
        <v>484</v>
      </c>
      <c r="M9" s="38" t="s">
        <v>1484</v>
      </c>
    </row>
    <row r="10" spans="1:66">
      <c r="C10" s="17" t="s">
        <v>485</v>
      </c>
      <c r="D10" s="17" t="s">
        <v>1479</v>
      </c>
      <c r="E10" s="17" t="s">
        <v>1480</v>
      </c>
      <c r="F10" s="17" t="s">
        <v>488</v>
      </c>
      <c r="G10" s="17" t="s">
        <v>489</v>
      </c>
      <c r="H10" s="17" t="s">
        <v>490</v>
      </c>
      <c r="I10" s="26"/>
      <c r="J10" s="26"/>
      <c r="K10" s="26"/>
      <c r="M10" s="1" t="s">
        <v>1483</v>
      </c>
    </row>
    <row r="11" spans="1:66">
      <c r="C11" s="36" t="str">
        <f>RIGHT(DEC2HEX(HEX2DEC(D11)+HEX2DEC(E11)), 7)</f>
        <v>8909AE5</v>
      </c>
      <c r="D11" s="36" t="str">
        <f>DEC2HEX(_xlfn.BITXOR(_xlfn.BITXOR(HEX2DEC(F11), HEX2DEC(G11)), HEX2DEC(H11)))</f>
        <v>CE20B47E</v>
      </c>
      <c r="E11" s="36" t="str">
        <f>DEC2HEX(_xlfn.BITXOR(_xlfn.BITXOR(_xlfn.BITAND(HEX2DEC(C7), HEX2DEC(D7)), _xlfn.BITAND(HEX2DEC(C7), HEX2DEC(E7))), _xlfn.BITAND(HEX2DEC(D7), HEX2DEC(E7))))</f>
        <v>3A6FE667</v>
      </c>
      <c r="F11" s="33" t="s">
        <v>1444</v>
      </c>
      <c r="G11" s="33" t="s">
        <v>1445</v>
      </c>
      <c r="H11" s="33" t="s">
        <v>1446</v>
      </c>
      <c r="I11" s="26"/>
      <c r="J11" s="26"/>
      <c r="K11" s="26"/>
      <c r="M11" s="1" t="s">
        <v>1484</v>
      </c>
    </row>
    <row r="12" spans="1:66">
      <c r="C12" s="17" t="s">
        <v>491</v>
      </c>
      <c r="D12" s="17" t="s">
        <v>492</v>
      </c>
      <c r="E12" s="17" t="s">
        <v>493</v>
      </c>
      <c r="F12" s="17" t="s">
        <v>494</v>
      </c>
      <c r="G12" s="17" t="s">
        <v>495</v>
      </c>
      <c r="H12" s="17" t="s">
        <v>496</v>
      </c>
      <c r="I12" s="17" t="s">
        <v>497</v>
      </c>
      <c r="J12" s="17" t="s">
        <v>498</v>
      </c>
      <c r="K12" s="26"/>
      <c r="M12" s="38" t="s">
        <v>1485</v>
      </c>
    </row>
    <row r="13" spans="1:66">
      <c r="B13" s="1" t="s">
        <v>499</v>
      </c>
      <c r="C13" s="29" t="s">
        <v>500</v>
      </c>
      <c r="D13" s="29" t="s">
        <v>466</v>
      </c>
      <c r="E13" s="29" t="s">
        <v>467</v>
      </c>
      <c r="F13" s="29" t="s">
        <v>468</v>
      </c>
      <c r="G13" s="29" t="s">
        <v>501</v>
      </c>
      <c r="H13" s="29" t="s">
        <v>470</v>
      </c>
      <c r="I13" s="29" t="s">
        <v>471</v>
      </c>
      <c r="J13" s="29" t="s">
        <v>472</v>
      </c>
      <c r="K13" s="26"/>
      <c r="M13" s="38" t="s">
        <v>1486</v>
      </c>
    </row>
    <row r="14" spans="1:66">
      <c r="B14" s="1"/>
      <c r="C14" s="26"/>
      <c r="D14" s="26"/>
      <c r="E14" s="26"/>
      <c r="F14" s="26"/>
      <c r="G14" s="26"/>
      <c r="H14" s="26"/>
      <c r="I14" s="26"/>
      <c r="J14" s="26"/>
      <c r="K14" s="26"/>
    </row>
    <row r="15" spans="1:66">
      <c r="A15" s="7" t="s">
        <v>502</v>
      </c>
      <c r="B15" s="26">
        <v>2</v>
      </c>
      <c r="C15" s="27" t="s">
        <v>457</v>
      </c>
      <c r="D15" s="27" t="s">
        <v>458</v>
      </c>
      <c r="E15" s="27" t="s">
        <v>459</v>
      </c>
      <c r="F15" s="27" t="s">
        <v>460</v>
      </c>
      <c r="G15" s="27" t="s">
        <v>461</v>
      </c>
      <c r="H15" s="27" t="s">
        <v>462</v>
      </c>
      <c r="I15" s="27" t="s">
        <v>463</v>
      </c>
      <c r="J15" s="27" t="s">
        <v>464</v>
      </c>
      <c r="K15" s="26"/>
    </row>
    <row r="16" spans="1:66">
      <c r="B16" s="1" t="s">
        <v>503</v>
      </c>
      <c r="C16" s="28" t="s">
        <v>1450</v>
      </c>
      <c r="D16" s="28" t="s">
        <v>1451</v>
      </c>
      <c r="E16" s="28" t="s">
        <v>1452</v>
      </c>
      <c r="F16" s="28" t="s">
        <v>468</v>
      </c>
      <c r="G16" s="28" t="s">
        <v>1438</v>
      </c>
      <c r="H16" s="28" t="s">
        <v>1439</v>
      </c>
      <c r="I16" s="28" t="s">
        <v>1458</v>
      </c>
      <c r="J16" s="28" t="s">
        <v>472</v>
      </c>
      <c r="K16" s="26"/>
    </row>
    <row r="17" spans="1:11">
      <c r="C17" s="17" t="s">
        <v>474</v>
      </c>
      <c r="D17" s="17" t="s">
        <v>464</v>
      </c>
      <c r="E17" s="17" t="s">
        <v>475</v>
      </c>
      <c r="F17" s="17" t="s">
        <v>476</v>
      </c>
      <c r="G17" s="17" t="s">
        <v>477</v>
      </c>
      <c r="H17" s="17" t="s">
        <v>478</v>
      </c>
      <c r="I17" s="17" t="s">
        <v>479</v>
      </c>
      <c r="J17" s="17" t="s">
        <v>480</v>
      </c>
      <c r="K17" s="17" t="s">
        <v>481</v>
      </c>
    </row>
    <row r="18" spans="1:11">
      <c r="C18" s="36" t="str">
        <f>RIGHT(DEC2HEX(HEX2DEC(D18) + HEX2DEC(E18) + HEX2DEC(F18) + HEX2DEC(G18) + HEX2DEC(H18)), 8)</f>
        <v>C100784E</v>
      </c>
      <c r="D18" s="17" t="s">
        <v>1471</v>
      </c>
      <c r="E18" s="36" t="str">
        <f>DEC2HEX(_xlfn.BITXOR(_xlfn.BITXOR(HEX2DEC(I18), HEX2DEC(J18)), HEX2DEC(K18)))</f>
        <v>6BCA8661</v>
      </c>
      <c r="F18" s="36" t="str">
        <f>DEC2HEX(_xlfn.BITXOR(_xlfn.BITAND(HEX2DEC(G16), HEX2DEC(H16)), _xlfn.BITAND(_xlfn.BITXOR(HEX2DEC("FFFFFFFF"), HEX2DEC(G16)), HEX2DEC(I16))))</f>
        <v>53056A4E</v>
      </c>
      <c r="G18" s="36">
        <f>K상수!C7</f>
        <v>71374491</v>
      </c>
      <c r="H18" s="17">
        <v>71756963</v>
      </c>
      <c r="I18" s="17" t="s">
        <v>504</v>
      </c>
      <c r="J18" s="17" t="s">
        <v>505</v>
      </c>
      <c r="K18" s="17" t="s">
        <v>506</v>
      </c>
    </row>
    <row r="19" spans="1:11">
      <c r="C19" s="17" t="s">
        <v>485</v>
      </c>
      <c r="D19" s="17" t="s">
        <v>486</v>
      </c>
      <c r="E19" s="17" t="s">
        <v>487</v>
      </c>
      <c r="F19" s="17" t="s">
        <v>488</v>
      </c>
      <c r="G19" s="17" t="s">
        <v>489</v>
      </c>
      <c r="H19" s="17" t="s">
        <v>490</v>
      </c>
      <c r="I19" s="26"/>
      <c r="J19" s="26"/>
      <c r="K19" s="26"/>
    </row>
    <row r="20" spans="1:11">
      <c r="C20" s="36" t="str">
        <f>RIGHT(DEC2HEX(HEX2DEC(D20)+HEX2DEC(E20)),8)</f>
        <v>7724FC02</v>
      </c>
      <c r="D20" s="36" t="str">
        <f>DEC2HEX(_xlfn.BITXOR(_xlfn.BITXOR(HEX2DEC(F20), HEX2DEC(G20)), HEX2DEC(H20)))</f>
        <v>FCC30D9D</v>
      </c>
      <c r="E20" s="36" t="str">
        <f>DEC2HEX(_xlfn.BITXOR(_xlfn.BITXOR(_xlfn.BITAND(HEX2DEC(C16), HEX2DEC(D16)), _xlfn.BITAND(HEX2DEC(C16), HEX2DEC(E16))), _xlfn.BITAND(HEX2DEC(D16), HEX2DEC(E16))))</f>
        <v>7A61EE65</v>
      </c>
      <c r="F20" s="33" t="s">
        <v>1447</v>
      </c>
      <c r="G20" s="33" t="s">
        <v>1448</v>
      </c>
      <c r="H20" s="33" t="s">
        <v>1449</v>
      </c>
      <c r="I20" s="26"/>
      <c r="J20" s="26"/>
      <c r="K20" s="26"/>
    </row>
    <row r="21" spans="1:11">
      <c r="C21" s="17" t="s">
        <v>491</v>
      </c>
      <c r="D21" s="17" t="s">
        <v>492</v>
      </c>
      <c r="E21" s="17" t="s">
        <v>493</v>
      </c>
      <c r="F21" s="17" t="s">
        <v>494</v>
      </c>
      <c r="G21" s="17" t="s">
        <v>495</v>
      </c>
      <c r="H21" s="17" t="s">
        <v>496</v>
      </c>
      <c r="I21" s="17" t="s">
        <v>497</v>
      </c>
      <c r="J21" s="17" t="s">
        <v>498</v>
      </c>
      <c r="K21" s="26"/>
    </row>
    <row r="22" spans="1:11">
      <c r="B22" s="1" t="s">
        <v>253</v>
      </c>
      <c r="C22" s="29" t="s">
        <v>507</v>
      </c>
      <c r="D22" s="29" t="s">
        <v>500</v>
      </c>
      <c r="E22" s="29" t="s">
        <v>466</v>
      </c>
      <c r="F22" s="29" t="s">
        <v>467</v>
      </c>
      <c r="G22" s="29" t="s">
        <v>508</v>
      </c>
      <c r="H22" s="29" t="s">
        <v>501</v>
      </c>
      <c r="I22" s="29" t="s">
        <v>470</v>
      </c>
      <c r="J22" s="29" t="s">
        <v>471</v>
      </c>
      <c r="K22" s="26"/>
    </row>
    <row r="23" spans="1:11">
      <c r="B23" s="1"/>
      <c r="C23" s="26"/>
      <c r="D23" s="26"/>
      <c r="E23" s="26"/>
      <c r="F23" s="26"/>
      <c r="G23" s="26"/>
      <c r="H23" s="26"/>
      <c r="I23" s="26"/>
      <c r="J23" s="26"/>
      <c r="K23" s="26"/>
    </row>
    <row r="24" spans="1:11">
      <c r="A24" s="7" t="s">
        <v>252</v>
      </c>
      <c r="B24" s="26">
        <v>3</v>
      </c>
      <c r="C24" s="27" t="s">
        <v>457</v>
      </c>
      <c r="D24" s="27" t="s">
        <v>458</v>
      </c>
      <c r="E24" s="27" t="s">
        <v>459</v>
      </c>
      <c r="F24" s="27" t="s">
        <v>460</v>
      </c>
      <c r="G24" s="27" t="s">
        <v>461</v>
      </c>
      <c r="H24" s="27" t="s">
        <v>462</v>
      </c>
      <c r="I24" s="27" t="s">
        <v>463</v>
      </c>
      <c r="J24" s="27" t="s">
        <v>464</v>
      </c>
      <c r="K24" s="26"/>
    </row>
    <row r="25" spans="1:11">
      <c r="B25" s="1" t="s">
        <v>255</v>
      </c>
      <c r="C25" s="28">
        <v>38257450</v>
      </c>
      <c r="D25" s="28" t="s">
        <v>1450</v>
      </c>
      <c r="E25" s="28" t="s">
        <v>1451</v>
      </c>
      <c r="F25" s="28" t="s">
        <v>467</v>
      </c>
      <c r="G25" s="28" t="s">
        <v>1437</v>
      </c>
      <c r="H25" s="28" t="s">
        <v>1438</v>
      </c>
      <c r="I25" s="28" t="s">
        <v>1439</v>
      </c>
      <c r="J25" s="28" t="s">
        <v>471</v>
      </c>
      <c r="K25" s="26"/>
    </row>
    <row r="26" spans="1:11">
      <c r="C26" s="17" t="s">
        <v>474</v>
      </c>
      <c r="D26" s="17" t="s">
        <v>464</v>
      </c>
      <c r="E26" s="17" t="s">
        <v>475</v>
      </c>
      <c r="F26" s="17" t="s">
        <v>476</v>
      </c>
      <c r="G26" s="17" t="s">
        <v>477</v>
      </c>
      <c r="H26" s="17" t="s">
        <v>478</v>
      </c>
      <c r="I26" s="17" t="s">
        <v>479</v>
      </c>
      <c r="J26" s="17" t="s">
        <v>480</v>
      </c>
      <c r="K26" s="17" t="s">
        <v>481</v>
      </c>
    </row>
    <row r="27" spans="1:11">
      <c r="C27" s="17" t="s">
        <v>1461</v>
      </c>
      <c r="D27" s="17" t="s">
        <v>1458</v>
      </c>
      <c r="E27" s="17" t="s">
        <v>1462</v>
      </c>
      <c r="F27" s="17" t="s">
        <v>1459</v>
      </c>
      <c r="G27" s="17" t="s">
        <v>1463</v>
      </c>
      <c r="H27" s="17" t="s">
        <v>1464</v>
      </c>
      <c r="I27" s="17" t="s">
        <v>1436</v>
      </c>
      <c r="J27" s="17" t="s">
        <v>509</v>
      </c>
      <c r="K27" s="17" t="s">
        <v>510</v>
      </c>
    </row>
    <row r="28" spans="1:11">
      <c r="B28" s="37"/>
      <c r="C28" s="17" t="s">
        <v>485</v>
      </c>
      <c r="D28" s="17" t="s">
        <v>486</v>
      </c>
      <c r="E28" s="17" t="s">
        <v>487</v>
      </c>
      <c r="F28" s="17" t="s">
        <v>488</v>
      </c>
      <c r="G28" s="17" t="s">
        <v>489</v>
      </c>
      <c r="H28" s="17" t="s">
        <v>490</v>
      </c>
      <c r="I28" s="26"/>
      <c r="J28" s="26"/>
      <c r="K28" s="26"/>
    </row>
    <row r="29" spans="1:11">
      <c r="C29" s="33" t="s">
        <v>511</v>
      </c>
      <c r="D29" s="33" t="s">
        <v>1454</v>
      </c>
      <c r="E29" s="33" t="s">
        <v>1455</v>
      </c>
      <c r="F29" s="33" t="s">
        <v>1440</v>
      </c>
      <c r="G29" s="33" t="s">
        <v>1441</v>
      </c>
      <c r="H29" s="33" t="s">
        <v>1442</v>
      </c>
      <c r="I29" s="26"/>
      <c r="J29" s="26"/>
      <c r="K29" s="26"/>
    </row>
    <row r="30" spans="1:11">
      <c r="C30" s="17" t="s">
        <v>491</v>
      </c>
      <c r="D30" s="17" t="s">
        <v>492</v>
      </c>
      <c r="E30" s="17" t="s">
        <v>493</v>
      </c>
      <c r="F30" s="17" t="s">
        <v>494</v>
      </c>
      <c r="G30" s="17" t="s">
        <v>495</v>
      </c>
      <c r="H30" s="17" t="s">
        <v>1443</v>
      </c>
      <c r="I30" s="17" t="s">
        <v>497</v>
      </c>
      <c r="J30" s="17" t="s">
        <v>498</v>
      </c>
      <c r="K30" s="26"/>
    </row>
    <row r="31" spans="1:11">
      <c r="B31" s="1" t="s">
        <v>256</v>
      </c>
      <c r="C31" s="29" t="s">
        <v>512</v>
      </c>
      <c r="D31" s="29" t="s">
        <v>507</v>
      </c>
      <c r="E31" s="29" t="s">
        <v>500</v>
      </c>
      <c r="F31" s="29" t="s">
        <v>466</v>
      </c>
      <c r="G31" s="29" t="s">
        <v>513</v>
      </c>
      <c r="H31" s="29" t="s">
        <v>508</v>
      </c>
      <c r="I31" s="29" t="s">
        <v>501</v>
      </c>
      <c r="J31" s="29" t="s">
        <v>470</v>
      </c>
      <c r="K31" s="26"/>
    </row>
    <row r="32" spans="1:11">
      <c r="B32" s="1"/>
      <c r="C32" s="26"/>
      <c r="D32" s="26"/>
      <c r="E32" s="26"/>
      <c r="F32" s="26"/>
      <c r="G32" s="26"/>
      <c r="H32" s="26"/>
      <c r="I32" s="26"/>
      <c r="J32" s="26"/>
      <c r="K32" s="26"/>
    </row>
    <row r="33" spans="1:11">
      <c r="A33" s="7" t="s">
        <v>254</v>
      </c>
      <c r="B33" s="26">
        <v>4</v>
      </c>
      <c r="C33" s="27" t="s">
        <v>457</v>
      </c>
      <c r="D33" s="27" t="s">
        <v>458</v>
      </c>
      <c r="E33" s="27" t="s">
        <v>459</v>
      </c>
      <c r="F33" s="27" t="s">
        <v>460</v>
      </c>
      <c r="G33" s="27" t="s">
        <v>461</v>
      </c>
      <c r="H33" s="27" t="s">
        <v>462</v>
      </c>
      <c r="I33" s="27" t="s">
        <v>463</v>
      </c>
      <c r="J33" s="27" t="s">
        <v>464</v>
      </c>
      <c r="K33" s="26"/>
    </row>
    <row r="34" spans="1:11">
      <c r="B34" s="1" t="s">
        <v>258</v>
      </c>
      <c r="C34" s="28" t="s">
        <v>512</v>
      </c>
      <c r="D34" s="28" t="s">
        <v>507</v>
      </c>
      <c r="E34" s="28" t="s">
        <v>500</v>
      </c>
      <c r="F34" s="28" t="s">
        <v>466</v>
      </c>
      <c r="G34" s="28" t="s">
        <v>1460</v>
      </c>
      <c r="H34" s="28" t="s">
        <v>1437</v>
      </c>
      <c r="I34" s="28" t="s">
        <v>1438</v>
      </c>
      <c r="J34" s="28" t="s">
        <v>470</v>
      </c>
      <c r="K34" s="26"/>
    </row>
    <row r="35" spans="1:11">
      <c r="C35" s="17" t="s">
        <v>474</v>
      </c>
      <c r="D35" s="17" t="s">
        <v>464</v>
      </c>
      <c r="E35" s="17" t="s">
        <v>475</v>
      </c>
      <c r="F35" s="17" t="s">
        <v>476</v>
      </c>
      <c r="G35" s="17" t="s">
        <v>477</v>
      </c>
      <c r="H35" s="17" t="s">
        <v>478</v>
      </c>
      <c r="I35" s="17" t="s">
        <v>479</v>
      </c>
      <c r="J35" s="17" t="s">
        <v>480</v>
      </c>
      <c r="K35" s="17" t="s">
        <v>481</v>
      </c>
    </row>
    <row r="36" spans="1:11">
      <c r="C36" s="17" t="s">
        <v>514</v>
      </c>
      <c r="D36" s="17" t="s">
        <v>470</v>
      </c>
      <c r="E36" s="17" t="s">
        <v>515</v>
      </c>
      <c r="F36" s="17" t="s">
        <v>516</v>
      </c>
      <c r="G36" s="17" t="s">
        <v>188</v>
      </c>
      <c r="H36" s="17" t="s">
        <v>517</v>
      </c>
      <c r="I36" s="17" t="s">
        <v>518</v>
      </c>
      <c r="J36" s="17" t="s">
        <v>519</v>
      </c>
      <c r="K36" s="17" t="s">
        <v>520</v>
      </c>
    </row>
    <row r="37" spans="1:11">
      <c r="C37" s="17" t="s">
        <v>485</v>
      </c>
      <c r="D37" s="17" t="s">
        <v>486</v>
      </c>
      <c r="E37" s="17" t="s">
        <v>487</v>
      </c>
      <c r="F37" s="17" t="s">
        <v>488</v>
      </c>
      <c r="G37" s="17" t="s">
        <v>489</v>
      </c>
      <c r="H37" s="17" t="s">
        <v>490</v>
      </c>
      <c r="I37" s="26"/>
      <c r="J37" s="26"/>
      <c r="K37" s="26"/>
    </row>
    <row r="38" spans="1:11">
      <c r="C38" s="33" t="s">
        <v>521</v>
      </c>
      <c r="D38" s="33" t="s">
        <v>1456</v>
      </c>
      <c r="E38" s="33" t="s">
        <v>1457</v>
      </c>
      <c r="F38" s="33" t="s">
        <v>522</v>
      </c>
      <c r="G38" s="33" t="s">
        <v>523</v>
      </c>
      <c r="H38" s="33" t="s">
        <v>524</v>
      </c>
      <c r="I38" s="26"/>
      <c r="J38" s="26"/>
      <c r="K38" s="26"/>
    </row>
    <row r="39" spans="1:11">
      <c r="C39" s="17" t="s">
        <v>491</v>
      </c>
      <c r="D39" s="17" t="s">
        <v>492</v>
      </c>
      <c r="E39" s="17" t="s">
        <v>493</v>
      </c>
      <c r="F39" s="17" t="s">
        <v>494</v>
      </c>
      <c r="G39" s="17" t="s">
        <v>495</v>
      </c>
      <c r="H39" s="17" t="s">
        <v>496</v>
      </c>
      <c r="I39" s="17" t="s">
        <v>497</v>
      </c>
      <c r="J39" s="17" t="s">
        <v>498</v>
      </c>
      <c r="K39" s="26"/>
    </row>
    <row r="40" spans="1:11">
      <c r="B40" s="1" t="s">
        <v>259</v>
      </c>
      <c r="C40" s="29" t="s">
        <v>525</v>
      </c>
      <c r="D40" s="29" t="s">
        <v>512</v>
      </c>
      <c r="E40" s="29" t="s">
        <v>507</v>
      </c>
      <c r="F40" s="29" t="s">
        <v>500</v>
      </c>
      <c r="G40" s="29" t="s">
        <v>526</v>
      </c>
      <c r="H40" s="29" t="s">
        <v>513</v>
      </c>
      <c r="I40" s="29" t="s">
        <v>508</v>
      </c>
      <c r="J40" s="29" t="s">
        <v>501</v>
      </c>
      <c r="K40" s="26"/>
    </row>
    <row r="41" spans="1:11">
      <c r="B41" s="1"/>
      <c r="C41" s="26"/>
      <c r="D41" s="26"/>
      <c r="E41" s="26"/>
      <c r="F41" s="26"/>
      <c r="G41" s="26"/>
      <c r="H41" s="26"/>
      <c r="I41" s="26"/>
      <c r="J41" s="26"/>
      <c r="K41" s="26"/>
    </row>
    <row r="42" spans="1:11">
      <c r="A42" s="7" t="s">
        <v>257</v>
      </c>
      <c r="B42" s="26">
        <v>5</v>
      </c>
      <c r="C42" s="27" t="s">
        <v>457</v>
      </c>
      <c r="D42" s="27" t="s">
        <v>458</v>
      </c>
      <c r="E42" s="27" t="s">
        <v>459</v>
      </c>
      <c r="F42" s="27" t="s">
        <v>460</v>
      </c>
      <c r="G42" s="27" t="s">
        <v>461</v>
      </c>
      <c r="H42" s="27" t="s">
        <v>462</v>
      </c>
      <c r="I42" s="27" t="s">
        <v>463</v>
      </c>
      <c r="J42" s="27" t="s">
        <v>464</v>
      </c>
      <c r="K42" s="26"/>
    </row>
    <row r="43" spans="1:11">
      <c r="B43" s="1" t="s">
        <v>261</v>
      </c>
      <c r="C43" s="28" t="s">
        <v>525</v>
      </c>
      <c r="D43" s="28" t="s">
        <v>512</v>
      </c>
      <c r="E43" s="28" t="s">
        <v>507</v>
      </c>
      <c r="F43" s="28" t="s">
        <v>500</v>
      </c>
      <c r="G43" s="28" t="s">
        <v>526</v>
      </c>
      <c r="H43" s="28" t="s">
        <v>513</v>
      </c>
      <c r="I43" s="28" t="s">
        <v>508</v>
      </c>
      <c r="J43" s="28" t="s">
        <v>501</v>
      </c>
      <c r="K43" s="26"/>
    </row>
    <row r="44" spans="1:11">
      <c r="C44" s="17" t="s">
        <v>474</v>
      </c>
      <c r="D44" s="17" t="s">
        <v>464</v>
      </c>
      <c r="E44" s="17" t="s">
        <v>475</v>
      </c>
      <c r="F44" s="17" t="s">
        <v>476</v>
      </c>
      <c r="G44" s="17" t="s">
        <v>477</v>
      </c>
      <c r="H44" s="17" t="s">
        <v>478</v>
      </c>
      <c r="I44" s="17" t="s">
        <v>479</v>
      </c>
      <c r="J44" s="17" t="s">
        <v>480</v>
      </c>
      <c r="K44" s="17" t="s">
        <v>481</v>
      </c>
    </row>
    <row r="45" spans="1:11">
      <c r="C45" s="17" t="s">
        <v>527</v>
      </c>
      <c r="D45" s="17" t="s">
        <v>501</v>
      </c>
      <c r="E45" s="17" t="s">
        <v>528</v>
      </c>
      <c r="F45" s="17" t="s">
        <v>529</v>
      </c>
      <c r="G45" s="17" t="s">
        <v>189</v>
      </c>
      <c r="H45" s="17" t="s">
        <v>530</v>
      </c>
      <c r="I45" s="17" t="s">
        <v>531</v>
      </c>
      <c r="J45" s="17" t="s">
        <v>532</v>
      </c>
      <c r="K45" s="17" t="s">
        <v>533</v>
      </c>
    </row>
    <row r="46" spans="1:11">
      <c r="C46" s="17" t="s">
        <v>485</v>
      </c>
      <c r="D46" s="17" t="s">
        <v>486</v>
      </c>
      <c r="E46" s="17" t="s">
        <v>487</v>
      </c>
      <c r="F46" s="17" t="s">
        <v>488</v>
      </c>
      <c r="G46" s="17" t="s">
        <v>489</v>
      </c>
      <c r="H46" s="17" t="s">
        <v>490</v>
      </c>
      <c r="I46" s="26"/>
      <c r="J46" s="26"/>
      <c r="K46" s="26"/>
    </row>
    <row r="47" spans="1:11">
      <c r="C47" s="33" t="s">
        <v>534</v>
      </c>
      <c r="D47" s="33" t="s">
        <v>535</v>
      </c>
      <c r="E47" s="33" t="s">
        <v>536</v>
      </c>
      <c r="F47" s="33" t="s">
        <v>537</v>
      </c>
      <c r="G47" s="33" t="s">
        <v>538</v>
      </c>
      <c r="H47" s="33" t="s">
        <v>539</v>
      </c>
      <c r="I47" s="26"/>
      <c r="J47" s="26"/>
      <c r="K47" s="26"/>
    </row>
    <row r="48" spans="1:11">
      <c r="C48" s="17" t="s">
        <v>491</v>
      </c>
      <c r="D48" s="17" t="s">
        <v>492</v>
      </c>
      <c r="E48" s="17" t="s">
        <v>493</v>
      </c>
      <c r="F48" s="17" t="s">
        <v>494</v>
      </c>
      <c r="G48" s="17" t="s">
        <v>495</v>
      </c>
      <c r="H48" s="17" t="s">
        <v>496</v>
      </c>
      <c r="I48" s="17" t="s">
        <v>497</v>
      </c>
      <c r="J48" s="17" t="s">
        <v>498</v>
      </c>
      <c r="K48" s="26"/>
    </row>
    <row r="49" spans="1:11">
      <c r="B49" s="1" t="s">
        <v>262</v>
      </c>
      <c r="C49" s="29" t="s">
        <v>540</v>
      </c>
      <c r="D49" s="29" t="s">
        <v>525</v>
      </c>
      <c r="E49" s="29" t="s">
        <v>512</v>
      </c>
      <c r="F49" s="29" t="s">
        <v>507</v>
      </c>
      <c r="G49" s="29" t="s">
        <v>541</v>
      </c>
      <c r="H49" s="29" t="s">
        <v>526</v>
      </c>
      <c r="I49" s="29" t="s">
        <v>513</v>
      </c>
      <c r="J49" s="29" t="s">
        <v>508</v>
      </c>
      <c r="K49" s="26"/>
    </row>
    <row r="50" spans="1:11">
      <c r="B50" s="1"/>
      <c r="C50" s="26"/>
      <c r="D50" s="26"/>
      <c r="E50" s="26"/>
      <c r="F50" s="26"/>
      <c r="G50" s="26"/>
      <c r="H50" s="26"/>
      <c r="I50" s="26"/>
      <c r="J50" s="26"/>
      <c r="K50" s="26"/>
    </row>
    <row r="51" spans="1:11">
      <c r="A51" s="7" t="s">
        <v>260</v>
      </c>
      <c r="B51" s="26">
        <v>6</v>
      </c>
      <c r="C51" s="27" t="s">
        <v>457</v>
      </c>
      <c r="D51" s="27" t="s">
        <v>458</v>
      </c>
      <c r="E51" s="27" t="s">
        <v>459</v>
      </c>
      <c r="F51" s="27" t="s">
        <v>460</v>
      </c>
      <c r="G51" s="27" t="s">
        <v>461</v>
      </c>
      <c r="H51" s="27" t="s">
        <v>462</v>
      </c>
      <c r="I51" s="27" t="s">
        <v>463</v>
      </c>
      <c r="J51" s="27" t="s">
        <v>464</v>
      </c>
      <c r="K51" s="26"/>
    </row>
    <row r="52" spans="1:11">
      <c r="B52" s="1" t="s">
        <v>264</v>
      </c>
      <c r="C52" s="28" t="s">
        <v>540</v>
      </c>
      <c r="D52" s="28" t="s">
        <v>525</v>
      </c>
      <c r="E52" s="28" t="s">
        <v>512</v>
      </c>
      <c r="F52" s="28" t="s">
        <v>507</v>
      </c>
      <c r="G52" s="28" t="s">
        <v>541</v>
      </c>
      <c r="H52" s="28" t="s">
        <v>526</v>
      </c>
      <c r="I52" s="28" t="s">
        <v>513</v>
      </c>
      <c r="J52" s="28" t="s">
        <v>508</v>
      </c>
      <c r="K52" s="26"/>
    </row>
    <row r="53" spans="1:11">
      <c r="C53" s="17" t="s">
        <v>474</v>
      </c>
      <c r="D53" s="17" t="s">
        <v>464</v>
      </c>
      <c r="E53" s="17" t="s">
        <v>475</v>
      </c>
      <c r="F53" s="17" t="s">
        <v>476</v>
      </c>
      <c r="G53" s="17" t="s">
        <v>477</v>
      </c>
      <c r="H53" s="17" t="s">
        <v>478</v>
      </c>
      <c r="I53" s="17" t="s">
        <v>479</v>
      </c>
      <c r="J53" s="17" t="s">
        <v>480</v>
      </c>
      <c r="K53" s="17" t="s">
        <v>481</v>
      </c>
    </row>
    <row r="54" spans="1:11">
      <c r="C54" s="17" t="s">
        <v>542</v>
      </c>
      <c r="D54" s="17" t="s">
        <v>508</v>
      </c>
      <c r="E54" s="17" t="s">
        <v>543</v>
      </c>
      <c r="F54" s="17" t="s">
        <v>544</v>
      </c>
      <c r="G54" s="17" t="s">
        <v>190</v>
      </c>
      <c r="H54" s="17" t="s">
        <v>545</v>
      </c>
      <c r="I54" s="17" t="s">
        <v>546</v>
      </c>
      <c r="J54" s="17" t="s">
        <v>547</v>
      </c>
      <c r="K54" s="17" t="s">
        <v>548</v>
      </c>
    </row>
    <row r="55" spans="1:11">
      <c r="C55" s="17" t="s">
        <v>485</v>
      </c>
      <c r="D55" s="17" t="s">
        <v>486</v>
      </c>
      <c r="E55" s="17" t="s">
        <v>487</v>
      </c>
      <c r="F55" s="17" t="s">
        <v>488</v>
      </c>
      <c r="G55" s="17" t="s">
        <v>489</v>
      </c>
      <c r="H55" s="17" t="s">
        <v>490</v>
      </c>
      <c r="I55" s="26"/>
      <c r="J55" s="26"/>
      <c r="K55" s="26"/>
    </row>
    <row r="56" spans="1:11">
      <c r="C56" s="33" t="s">
        <v>549</v>
      </c>
      <c r="D56" s="33" t="s">
        <v>550</v>
      </c>
      <c r="E56" s="33" t="s">
        <v>551</v>
      </c>
      <c r="F56" s="33" t="s">
        <v>552</v>
      </c>
      <c r="G56" s="33" t="s">
        <v>553</v>
      </c>
      <c r="H56" s="33" t="s">
        <v>554</v>
      </c>
      <c r="I56" s="26"/>
      <c r="J56" s="26"/>
      <c r="K56" s="26"/>
    </row>
    <row r="57" spans="1:11">
      <c r="C57" s="17" t="s">
        <v>491</v>
      </c>
      <c r="D57" s="17" t="s">
        <v>492</v>
      </c>
      <c r="E57" s="17" t="s">
        <v>493</v>
      </c>
      <c r="F57" s="17" t="s">
        <v>494</v>
      </c>
      <c r="G57" s="17" t="s">
        <v>495</v>
      </c>
      <c r="H57" s="17" t="s">
        <v>496</v>
      </c>
      <c r="I57" s="17" t="s">
        <v>497</v>
      </c>
      <c r="J57" s="17" t="s">
        <v>498</v>
      </c>
      <c r="K57" s="26"/>
    </row>
    <row r="58" spans="1:11">
      <c r="B58" s="1" t="s">
        <v>265</v>
      </c>
      <c r="C58" s="29" t="s">
        <v>555</v>
      </c>
      <c r="D58" s="29" t="s">
        <v>540</v>
      </c>
      <c r="E58" s="29" t="s">
        <v>525</v>
      </c>
      <c r="F58" s="29" t="s">
        <v>512</v>
      </c>
      <c r="G58" s="29" t="s">
        <v>556</v>
      </c>
      <c r="H58" s="29" t="s">
        <v>541</v>
      </c>
      <c r="I58" s="29" t="s">
        <v>526</v>
      </c>
      <c r="J58" s="29" t="s">
        <v>513</v>
      </c>
      <c r="K58" s="26"/>
    </row>
    <row r="59" spans="1:11">
      <c r="B59" s="1"/>
      <c r="C59" s="26"/>
      <c r="D59" s="26"/>
      <c r="E59" s="26"/>
      <c r="F59" s="26"/>
      <c r="G59" s="26"/>
      <c r="H59" s="26"/>
      <c r="I59" s="26"/>
      <c r="J59" s="26"/>
      <c r="K59" s="26"/>
    </row>
    <row r="60" spans="1:11">
      <c r="A60" s="7" t="s">
        <v>263</v>
      </c>
      <c r="B60" s="26">
        <v>7</v>
      </c>
      <c r="C60" s="27" t="s">
        <v>457</v>
      </c>
      <c r="D60" s="27" t="s">
        <v>458</v>
      </c>
      <c r="E60" s="27" t="s">
        <v>459</v>
      </c>
      <c r="F60" s="27" t="s">
        <v>460</v>
      </c>
      <c r="G60" s="27" t="s">
        <v>461</v>
      </c>
      <c r="H60" s="27" t="s">
        <v>462</v>
      </c>
      <c r="I60" s="27" t="s">
        <v>463</v>
      </c>
      <c r="J60" s="27" t="s">
        <v>464</v>
      </c>
      <c r="K60" s="26"/>
    </row>
    <row r="61" spans="1:11">
      <c r="B61" s="1" t="s">
        <v>267</v>
      </c>
      <c r="C61" s="28" t="s">
        <v>555</v>
      </c>
      <c r="D61" s="28" t="s">
        <v>540</v>
      </c>
      <c r="E61" s="28" t="s">
        <v>525</v>
      </c>
      <c r="F61" s="28" t="s">
        <v>512</v>
      </c>
      <c r="G61" s="28" t="s">
        <v>556</v>
      </c>
      <c r="H61" s="28" t="s">
        <v>541</v>
      </c>
      <c r="I61" s="28" t="s">
        <v>526</v>
      </c>
      <c r="J61" s="28" t="s">
        <v>513</v>
      </c>
      <c r="K61" s="26"/>
    </row>
    <row r="62" spans="1:11">
      <c r="C62" s="17" t="s">
        <v>474</v>
      </c>
      <c r="D62" s="17" t="s">
        <v>464</v>
      </c>
      <c r="E62" s="17" t="s">
        <v>475</v>
      </c>
      <c r="F62" s="17" t="s">
        <v>476</v>
      </c>
      <c r="G62" s="17" t="s">
        <v>477</v>
      </c>
      <c r="H62" s="17" t="s">
        <v>478</v>
      </c>
      <c r="I62" s="17" t="s">
        <v>479</v>
      </c>
      <c r="J62" s="17" t="s">
        <v>480</v>
      </c>
      <c r="K62" s="17" t="s">
        <v>481</v>
      </c>
    </row>
    <row r="63" spans="1:11">
      <c r="C63" s="17" t="s">
        <v>557</v>
      </c>
      <c r="D63" s="17" t="s">
        <v>513</v>
      </c>
      <c r="E63" s="17" t="s">
        <v>558</v>
      </c>
      <c r="F63" s="17" t="s">
        <v>559</v>
      </c>
      <c r="G63" s="17" t="s">
        <v>191</v>
      </c>
      <c r="H63" s="17" t="s">
        <v>560</v>
      </c>
      <c r="I63" s="17" t="s">
        <v>561</v>
      </c>
      <c r="J63" s="17" t="s">
        <v>562</v>
      </c>
      <c r="K63" s="17" t="s">
        <v>563</v>
      </c>
    </row>
    <row r="64" spans="1:11">
      <c r="C64" s="17" t="s">
        <v>485</v>
      </c>
      <c r="D64" s="17" t="s">
        <v>486</v>
      </c>
      <c r="E64" s="17" t="s">
        <v>487</v>
      </c>
      <c r="F64" s="17" t="s">
        <v>488</v>
      </c>
      <c r="G64" s="17" t="s">
        <v>489</v>
      </c>
      <c r="H64" s="17" t="s">
        <v>490</v>
      </c>
      <c r="I64" s="26"/>
      <c r="J64" s="26"/>
      <c r="K64" s="26"/>
    </row>
    <row r="65" spans="1:11">
      <c r="C65" s="33" t="s">
        <v>564</v>
      </c>
      <c r="D65" s="33" t="s">
        <v>565</v>
      </c>
      <c r="E65" s="33" t="s">
        <v>566</v>
      </c>
      <c r="F65" s="33" t="s">
        <v>567</v>
      </c>
      <c r="G65" s="33" t="s">
        <v>568</v>
      </c>
      <c r="H65" s="33" t="s">
        <v>569</v>
      </c>
      <c r="I65" s="26"/>
      <c r="J65" s="26"/>
      <c r="K65" s="26"/>
    </row>
    <row r="66" spans="1:11">
      <c r="C66" s="17" t="s">
        <v>491</v>
      </c>
      <c r="D66" s="17" t="s">
        <v>492</v>
      </c>
      <c r="E66" s="17" t="s">
        <v>493</v>
      </c>
      <c r="F66" s="17" t="s">
        <v>494</v>
      </c>
      <c r="G66" s="17" t="s">
        <v>495</v>
      </c>
      <c r="H66" s="17" t="s">
        <v>496</v>
      </c>
      <c r="I66" s="17" t="s">
        <v>497</v>
      </c>
      <c r="J66" s="17" t="s">
        <v>498</v>
      </c>
      <c r="K66" s="26"/>
    </row>
    <row r="67" spans="1:11">
      <c r="B67" s="1" t="s">
        <v>268</v>
      </c>
      <c r="C67" s="29" t="s">
        <v>570</v>
      </c>
      <c r="D67" s="29" t="s">
        <v>555</v>
      </c>
      <c r="E67" s="29" t="s">
        <v>540</v>
      </c>
      <c r="F67" s="29" t="s">
        <v>525</v>
      </c>
      <c r="G67" s="29" t="s">
        <v>571</v>
      </c>
      <c r="H67" s="29" t="s">
        <v>556</v>
      </c>
      <c r="I67" s="29" t="s">
        <v>541</v>
      </c>
      <c r="J67" s="29" t="s">
        <v>526</v>
      </c>
      <c r="K67" s="26"/>
    </row>
    <row r="68" spans="1:11">
      <c r="B68" s="1"/>
      <c r="C68" s="26"/>
      <c r="D68" s="26"/>
      <c r="E68" s="26"/>
      <c r="F68" s="26"/>
      <c r="G68" s="26"/>
      <c r="H68" s="26"/>
      <c r="I68" s="26"/>
      <c r="J68" s="26"/>
      <c r="K68" s="26"/>
    </row>
    <row r="69" spans="1:11">
      <c r="A69" s="7" t="s">
        <v>266</v>
      </c>
      <c r="B69" s="26">
        <v>8</v>
      </c>
      <c r="C69" s="27" t="s">
        <v>457</v>
      </c>
      <c r="D69" s="27" t="s">
        <v>458</v>
      </c>
      <c r="E69" s="27" t="s">
        <v>459</v>
      </c>
      <c r="F69" s="27" t="s">
        <v>460</v>
      </c>
      <c r="G69" s="27" t="s">
        <v>461</v>
      </c>
      <c r="H69" s="27" t="s">
        <v>462</v>
      </c>
      <c r="I69" s="27" t="s">
        <v>463</v>
      </c>
      <c r="J69" s="27" t="s">
        <v>464</v>
      </c>
      <c r="K69" s="26"/>
    </row>
    <row r="70" spans="1:11">
      <c r="B70" s="1" t="s">
        <v>270</v>
      </c>
      <c r="C70" s="28" t="s">
        <v>570</v>
      </c>
      <c r="D70" s="28" t="s">
        <v>555</v>
      </c>
      <c r="E70" s="28" t="s">
        <v>540</v>
      </c>
      <c r="F70" s="28" t="s">
        <v>525</v>
      </c>
      <c r="G70" s="28" t="s">
        <v>571</v>
      </c>
      <c r="H70" s="28" t="s">
        <v>556</v>
      </c>
      <c r="I70" s="28" t="s">
        <v>541</v>
      </c>
      <c r="J70" s="28" t="s">
        <v>526</v>
      </c>
      <c r="K70" s="26"/>
    </row>
    <row r="71" spans="1:11">
      <c r="C71" s="17" t="s">
        <v>474</v>
      </c>
      <c r="D71" s="17" t="s">
        <v>464</v>
      </c>
      <c r="E71" s="17" t="s">
        <v>475</v>
      </c>
      <c r="F71" s="17" t="s">
        <v>476</v>
      </c>
      <c r="G71" s="17" t="s">
        <v>477</v>
      </c>
      <c r="H71" s="17" t="s">
        <v>478</v>
      </c>
      <c r="I71" s="17" t="s">
        <v>479</v>
      </c>
      <c r="J71" s="17" t="s">
        <v>480</v>
      </c>
      <c r="K71" s="17" t="s">
        <v>481</v>
      </c>
    </row>
    <row r="72" spans="1:11">
      <c r="C72" s="17" t="s">
        <v>572</v>
      </c>
      <c r="D72" s="17" t="s">
        <v>526</v>
      </c>
      <c r="E72" s="17" t="s">
        <v>573</v>
      </c>
      <c r="F72" s="17" t="s">
        <v>574</v>
      </c>
      <c r="G72" s="17" t="s">
        <v>192</v>
      </c>
      <c r="H72" s="17" t="s">
        <v>575</v>
      </c>
      <c r="I72" s="17" t="s">
        <v>576</v>
      </c>
      <c r="J72" s="17" t="s">
        <v>577</v>
      </c>
      <c r="K72" s="17" t="s">
        <v>578</v>
      </c>
    </row>
    <row r="73" spans="1:11">
      <c r="C73" s="17" t="s">
        <v>485</v>
      </c>
      <c r="D73" s="17" t="s">
        <v>486</v>
      </c>
      <c r="E73" s="17" t="s">
        <v>487</v>
      </c>
      <c r="F73" s="17" t="s">
        <v>488</v>
      </c>
      <c r="G73" s="17" t="s">
        <v>489</v>
      </c>
      <c r="H73" s="17" t="s">
        <v>490</v>
      </c>
      <c r="I73" s="26"/>
      <c r="J73" s="26"/>
      <c r="K73" s="26"/>
    </row>
    <row r="74" spans="1:11">
      <c r="C74" s="33" t="s">
        <v>579</v>
      </c>
      <c r="D74" s="33" t="s">
        <v>580</v>
      </c>
      <c r="E74" s="33" t="s">
        <v>581</v>
      </c>
      <c r="F74" s="33" t="s">
        <v>582</v>
      </c>
      <c r="G74" s="33" t="s">
        <v>583</v>
      </c>
      <c r="H74" s="33" t="s">
        <v>584</v>
      </c>
      <c r="I74" s="26"/>
      <c r="J74" s="26"/>
      <c r="K74" s="26"/>
    </row>
    <row r="75" spans="1:11">
      <c r="C75" s="17" t="s">
        <v>491</v>
      </c>
      <c r="D75" s="17" t="s">
        <v>492</v>
      </c>
      <c r="E75" s="17" t="s">
        <v>493</v>
      </c>
      <c r="F75" s="17" t="s">
        <v>494</v>
      </c>
      <c r="G75" s="17" t="s">
        <v>495</v>
      </c>
      <c r="H75" s="17" t="s">
        <v>496</v>
      </c>
      <c r="I75" s="17" t="s">
        <v>497</v>
      </c>
      <c r="J75" s="17" t="s">
        <v>498</v>
      </c>
      <c r="K75" s="26"/>
    </row>
    <row r="76" spans="1:11">
      <c r="B76" s="1" t="s">
        <v>271</v>
      </c>
      <c r="C76" s="29" t="s">
        <v>585</v>
      </c>
      <c r="D76" s="29" t="s">
        <v>570</v>
      </c>
      <c r="E76" s="29" t="s">
        <v>555</v>
      </c>
      <c r="F76" s="29" t="s">
        <v>540</v>
      </c>
      <c r="G76" s="29" t="s">
        <v>586</v>
      </c>
      <c r="H76" s="29" t="s">
        <v>571</v>
      </c>
      <c r="I76" s="29" t="s">
        <v>556</v>
      </c>
      <c r="J76" s="29" t="s">
        <v>541</v>
      </c>
      <c r="K76" s="26"/>
    </row>
    <row r="77" spans="1:11">
      <c r="B77" s="1"/>
      <c r="C77" s="26"/>
      <c r="D77" s="26"/>
      <c r="E77" s="26"/>
      <c r="F77" s="26"/>
      <c r="G77" s="26"/>
      <c r="H77" s="26"/>
      <c r="I77" s="26"/>
      <c r="J77" s="26"/>
      <c r="K77" s="26"/>
    </row>
    <row r="78" spans="1:11">
      <c r="A78" s="7" t="s">
        <v>269</v>
      </c>
      <c r="B78" s="26">
        <v>9</v>
      </c>
      <c r="C78" s="27" t="s">
        <v>457</v>
      </c>
      <c r="D78" s="27" t="s">
        <v>458</v>
      </c>
      <c r="E78" s="27" t="s">
        <v>459</v>
      </c>
      <c r="F78" s="27" t="s">
        <v>460</v>
      </c>
      <c r="G78" s="27" t="s">
        <v>461</v>
      </c>
      <c r="H78" s="27" t="s">
        <v>462</v>
      </c>
      <c r="I78" s="27" t="s">
        <v>463</v>
      </c>
      <c r="J78" s="27" t="s">
        <v>464</v>
      </c>
      <c r="K78" s="26"/>
    </row>
    <row r="79" spans="1:11">
      <c r="B79" s="1" t="s">
        <v>273</v>
      </c>
      <c r="C79" s="28" t="s">
        <v>585</v>
      </c>
      <c r="D79" s="28" t="s">
        <v>570</v>
      </c>
      <c r="E79" s="28" t="s">
        <v>555</v>
      </c>
      <c r="F79" s="28" t="s">
        <v>540</v>
      </c>
      <c r="G79" s="28" t="s">
        <v>1468</v>
      </c>
      <c r="H79" s="28" t="s">
        <v>1469</v>
      </c>
      <c r="I79" s="28" t="s">
        <v>1470</v>
      </c>
      <c r="J79" s="28" t="s">
        <v>541</v>
      </c>
      <c r="K79" s="26"/>
    </row>
    <row r="80" spans="1:11">
      <c r="C80" s="17" t="s">
        <v>474</v>
      </c>
      <c r="D80" s="17" t="s">
        <v>464</v>
      </c>
      <c r="E80" s="17" t="s">
        <v>475</v>
      </c>
      <c r="F80" s="17" t="s">
        <v>476</v>
      </c>
      <c r="G80" s="17" t="s">
        <v>477</v>
      </c>
      <c r="H80" s="17" t="s">
        <v>478</v>
      </c>
      <c r="I80" s="17" t="s">
        <v>479</v>
      </c>
      <c r="J80" s="17" t="s">
        <v>480</v>
      </c>
      <c r="K80" s="17" t="s">
        <v>481</v>
      </c>
    </row>
    <row r="81" spans="1:11">
      <c r="C81" s="17" t="s">
        <v>587</v>
      </c>
      <c r="D81" s="17" t="s">
        <v>541</v>
      </c>
      <c r="E81" s="17" t="s">
        <v>588</v>
      </c>
      <c r="F81" s="17" t="s">
        <v>589</v>
      </c>
      <c r="G81" s="17" t="s">
        <v>193</v>
      </c>
      <c r="H81" s="17" t="s">
        <v>590</v>
      </c>
      <c r="I81" s="17" t="s">
        <v>591</v>
      </c>
      <c r="J81" s="17" t="s">
        <v>592</v>
      </c>
      <c r="K81" s="17" t="s">
        <v>593</v>
      </c>
    </row>
    <row r="82" spans="1:11">
      <c r="C82" s="17" t="s">
        <v>485</v>
      </c>
      <c r="D82" s="17" t="s">
        <v>486</v>
      </c>
      <c r="E82" s="17" t="s">
        <v>487</v>
      </c>
      <c r="F82" s="17" t="s">
        <v>488</v>
      </c>
      <c r="G82" s="17" t="s">
        <v>489</v>
      </c>
      <c r="H82" s="17" t="s">
        <v>490</v>
      </c>
      <c r="I82" s="26"/>
      <c r="J82" s="26"/>
      <c r="K82" s="26"/>
    </row>
    <row r="83" spans="1:11">
      <c r="C83" s="33" t="s">
        <v>594</v>
      </c>
      <c r="D83" s="33" t="s">
        <v>595</v>
      </c>
      <c r="E83" s="33" t="s">
        <v>596</v>
      </c>
      <c r="F83" s="33" t="s">
        <v>597</v>
      </c>
      <c r="G83" s="33" t="s">
        <v>598</v>
      </c>
      <c r="H83" s="33" t="s">
        <v>599</v>
      </c>
      <c r="I83" s="26"/>
      <c r="J83" s="26"/>
      <c r="K83" s="26"/>
    </row>
    <row r="84" spans="1:11">
      <c r="C84" s="17" t="s">
        <v>491</v>
      </c>
      <c r="D84" s="17" t="s">
        <v>492</v>
      </c>
      <c r="E84" s="17" t="s">
        <v>493</v>
      </c>
      <c r="F84" s="17" t="s">
        <v>494</v>
      </c>
      <c r="G84" s="17" t="s">
        <v>495</v>
      </c>
      <c r="H84" s="17" t="s">
        <v>496</v>
      </c>
      <c r="I84" s="17" t="s">
        <v>497</v>
      </c>
      <c r="J84" s="17" t="s">
        <v>498</v>
      </c>
      <c r="K84" s="26"/>
    </row>
    <row r="85" spans="1:11">
      <c r="B85" s="1" t="s">
        <v>274</v>
      </c>
      <c r="C85" s="29" t="s">
        <v>600</v>
      </c>
      <c r="D85" s="29" t="s">
        <v>585</v>
      </c>
      <c r="E85" s="29" t="s">
        <v>570</v>
      </c>
      <c r="F85" s="29" t="s">
        <v>555</v>
      </c>
      <c r="G85" s="29" t="s">
        <v>601</v>
      </c>
      <c r="H85" s="29" t="s">
        <v>586</v>
      </c>
      <c r="I85" s="29" t="s">
        <v>571</v>
      </c>
      <c r="J85" s="29" t="s">
        <v>556</v>
      </c>
      <c r="K85" s="26"/>
    </row>
    <row r="86" spans="1:11">
      <c r="B86" s="1"/>
      <c r="C86" s="26"/>
      <c r="D86" s="26"/>
      <c r="E86" s="26"/>
      <c r="F86" s="26"/>
      <c r="G86" s="26"/>
      <c r="H86" s="26"/>
      <c r="I86" s="26"/>
      <c r="J86" s="26"/>
      <c r="K86" s="26"/>
    </row>
    <row r="87" spans="1:11">
      <c r="A87" s="7" t="s">
        <v>272</v>
      </c>
      <c r="B87" s="26">
        <v>10</v>
      </c>
      <c r="C87" s="27" t="s">
        <v>457</v>
      </c>
      <c r="D87" s="27" t="s">
        <v>458</v>
      </c>
      <c r="E87" s="27" t="s">
        <v>459</v>
      </c>
      <c r="F87" s="27" t="s">
        <v>460</v>
      </c>
      <c r="G87" s="27" t="s">
        <v>461</v>
      </c>
      <c r="H87" s="27" t="s">
        <v>462</v>
      </c>
      <c r="I87" s="27" t="s">
        <v>463</v>
      </c>
      <c r="J87" s="27" t="s">
        <v>464</v>
      </c>
      <c r="K87" s="26"/>
    </row>
    <row r="88" spans="1:11">
      <c r="B88" s="1" t="s">
        <v>276</v>
      </c>
      <c r="C88" s="28" t="s">
        <v>600</v>
      </c>
      <c r="D88" s="28" t="s">
        <v>585</v>
      </c>
      <c r="E88" s="28" t="s">
        <v>570</v>
      </c>
      <c r="F88" s="28" t="s">
        <v>555</v>
      </c>
      <c r="G88" s="28" t="s">
        <v>601</v>
      </c>
      <c r="H88" s="28" t="s">
        <v>586</v>
      </c>
      <c r="I88" s="28" t="s">
        <v>571</v>
      </c>
      <c r="J88" s="28" t="s">
        <v>556</v>
      </c>
      <c r="K88" s="26"/>
    </row>
    <row r="89" spans="1:11">
      <c r="C89" s="17" t="s">
        <v>474</v>
      </c>
      <c r="D89" s="17" t="s">
        <v>464</v>
      </c>
      <c r="E89" s="17" t="s">
        <v>475</v>
      </c>
      <c r="F89" s="17" t="s">
        <v>476</v>
      </c>
      <c r="G89" s="17" t="s">
        <v>477</v>
      </c>
      <c r="H89" s="17" t="s">
        <v>478</v>
      </c>
      <c r="I89" s="17" t="s">
        <v>479</v>
      </c>
      <c r="J89" s="17" t="s">
        <v>480</v>
      </c>
      <c r="K89" s="17" t="s">
        <v>481</v>
      </c>
    </row>
    <row r="90" spans="1:11">
      <c r="C90" s="17" t="s">
        <v>602</v>
      </c>
      <c r="D90" s="17" t="s">
        <v>556</v>
      </c>
      <c r="E90" s="17" t="s">
        <v>603</v>
      </c>
      <c r="F90" s="17" t="s">
        <v>604</v>
      </c>
      <c r="G90" s="17" t="s">
        <v>194</v>
      </c>
      <c r="H90" s="17" t="s">
        <v>605</v>
      </c>
      <c r="I90" s="17" t="s">
        <v>606</v>
      </c>
      <c r="J90" s="17" t="s">
        <v>607</v>
      </c>
      <c r="K90" s="17" t="s">
        <v>608</v>
      </c>
    </row>
    <row r="91" spans="1:11">
      <c r="C91" s="17" t="s">
        <v>485</v>
      </c>
      <c r="D91" s="17" t="s">
        <v>486</v>
      </c>
      <c r="E91" s="17" t="s">
        <v>487</v>
      </c>
      <c r="F91" s="17" t="s">
        <v>488</v>
      </c>
      <c r="G91" s="17" t="s">
        <v>489</v>
      </c>
      <c r="H91" s="17" t="s">
        <v>490</v>
      </c>
      <c r="I91" s="26"/>
      <c r="J91" s="26"/>
      <c r="K91" s="26"/>
    </row>
    <row r="92" spans="1:11">
      <c r="C92" s="33" t="s">
        <v>609</v>
      </c>
      <c r="D92" s="33" t="s">
        <v>610</v>
      </c>
      <c r="E92" s="33" t="s">
        <v>611</v>
      </c>
      <c r="F92" s="33" t="s">
        <v>612</v>
      </c>
      <c r="G92" s="33" t="s">
        <v>613</v>
      </c>
      <c r="H92" s="33" t="s">
        <v>614</v>
      </c>
      <c r="I92" s="26"/>
      <c r="J92" s="26"/>
      <c r="K92" s="26"/>
    </row>
    <row r="93" spans="1:11">
      <c r="C93" s="17" t="s">
        <v>491</v>
      </c>
      <c r="D93" s="17" t="s">
        <v>492</v>
      </c>
      <c r="E93" s="17" t="s">
        <v>493</v>
      </c>
      <c r="F93" s="17" t="s">
        <v>494</v>
      </c>
      <c r="G93" s="17" t="s">
        <v>495</v>
      </c>
      <c r="H93" s="17" t="s">
        <v>496</v>
      </c>
      <c r="I93" s="17" t="s">
        <v>497</v>
      </c>
      <c r="J93" s="17" t="s">
        <v>498</v>
      </c>
      <c r="K93" s="26"/>
    </row>
    <row r="94" spans="1:11">
      <c r="B94" s="1" t="s">
        <v>277</v>
      </c>
      <c r="C94" s="29" t="s">
        <v>615</v>
      </c>
      <c r="D94" s="29" t="s">
        <v>600</v>
      </c>
      <c r="E94" s="29" t="s">
        <v>585</v>
      </c>
      <c r="F94" s="29" t="s">
        <v>570</v>
      </c>
      <c r="G94" s="29" t="s">
        <v>616</v>
      </c>
      <c r="H94" s="29" t="s">
        <v>601</v>
      </c>
      <c r="I94" s="29" t="s">
        <v>586</v>
      </c>
      <c r="J94" s="29" t="s">
        <v>571</v>
      </c>
      <c r="K94" s="26"/>
    </row>
    <row r="95" spans="1:11">
      <c r="B95" s="1"/>
      <c r="C95" s="26"/>
      <c r="D95" s="26"/>
      <c r="E95" s="26"/>
      <c r="F95" s="26"/>
      <c r="G95" s="26"/>
      <c r="H95" s="26"/>
      <c r="I95" s="26"/>
      <c r="J95" s="26"/>
      <c r="K95" s="26"/>
    </row>
    <row r="96" spans="1:11">
      <c r="A96" s="7" t="s">
        <v>275</v>
      </c>
      <c r="B96" s="26">
        <v>11</v>
      </c>
      <c r="C96" s="27" t="s">
        <v>457</v>
      </c>
      <c r="D96" s="27" t="s">
        <v>458</v>
      </c>
      <c r="E96" s="27" t="s">
        <v>459</v>
      </c>
      <c r="F96" s="27" t="s">
        <v>460</v>
      </c>
      <c r="G96" s="27" t="s">
        <v>461</v>
      </c>
      <c r="H96" s="27" t="s">
        <v>462</v>
      </c>
      <c r="I96" s="27" t="s">
        <v>463</v>
      </c>
      <c r="J96" s="27" t="s">
        <v>464</v>
      </c>
      <c r="K96" s="26"/>
    </row>
    <row r="97" spans="1:11">
      <c r="B97" s="1" t="s">
        <v>279</v>
      </c>
      <c r="C97" s="28" t="s">
        <v>615</v>
      </c>
      <c r="D97" s="28" t="s">
        <v>600</v>
      </c>
      <c r="E97" s="28" t="s">
        <v>585</v>
      </c>
      <c r="F97" s="28" t="s">
        <v>570</v>
      </c>
      <c r="G97" s="28" t="s">
        <v>616</v>
      </c>
      <c r="H97" s="28" t="s">
        <v>601</v>
      </c>
      <c r="I97" s="28" t="s">
        <v>586</v>
      </c>
      <c r="J97" s="28" t="s">
        <v>571</v>
      </c>
      <c r="K97" s="26"/>
    </row>
    <row r="98" spans="1:11">
      <c r="C98" s="17" t="s">
        <v>474</v>
      </c>
      <c r="D98" s="17" t="s">
        <v>464</v>
      </c>
      <c r="E98" s="17" t="s">
        <v>475</v>
      </c>
      <c r="F98" s="17" t="s">
        <v>476</v>
      </c>
      <c r="G98" s="17" t="s">
        <v>477</v>
      </c>
      <c r="H98" s="17" t="s">
        <v>478</v>
      </c>
      <c r="I98" s="17" t="s">
        <v>479</v>
      </c>
      <c r="J98" s="17" t="s">
        <v>480</v>
      </c>
      <c r="K98" s="17" t="s">
        <v>481</v>
      </c>
    </row>
    <row r="99" spans="1:11">
      <c r="C99" s="17" t="s">
        <v>617</v>
      </c>
      <c r="D99" s="17" t="s">
        <v>571</v>
      </c>
      <c r="E99" s="17" t="s">
        <v>618</v>
      </c>
      <c r="F99" s="17" t="s">
        <v>619</v>
      </c>
      <c r="G99" s="17" t="s">
        <v>195</v>
      </c>
      <c r="H99" s="17" t="s">
        <v>620</v>
      </c>
      <c r="I99" s="17" t="s">
        <v>621</v>
      </c>
      <c r="J99" s="17" t="s">
        <v>622</v>
      </c>
      <c r="K99" s="17" t="s">
        <v>623</v>
      </c>
    </row>
    <row r="100" spans="1:11">
      <c r="C100" s="17" t="s">
        <v>485</v>
      </c>
      <c r="D100" s="17" t="s">
        <v>486</v>
      </c>
      <c r="E100" s="17" t="s">
        <v>487</v>
      </c>
      <c r="F100" s="17" t="s">
        <v>488</v>
      </c>
      <c r="G100" s="17" t="s">
        <v>489</v>
      </c>
      <c r="H100" s="17" t="s">
        <v>490</v>
      </c>
      <c r="I100" s="26"/>
      <c r="J100" s="26"/>
      <c r="K100" s="26"/>
    </row>
    <row r="101" spans="1:11">
      <c r="C101" s="33" t="s">
        <v>624</v>
      </c>
      <c r="D101" s="33" t="s">
        <v>625</v>
      </c>
      <c r="E101" s="33" t="s">
        <v>626</v>
      </c>
      <c r="F101" s="33" t="s">
        <v>627</v>
      </c>
      <c r="G101" s="33" t="s">
        <v>628</v>
      </c>
      <c r="H101" s="33" t="s">
        <v>629</v>
      </c>
      <c r="I101" s="26"/>
      <c r="J101" s="26"/>
      <c r="K101" s="26"/>
    </row>
    <row r="102" spans="1:11">
      <c r="C102" s="17" t="s">
        <v>491</v>
      </c>
      <c r="D102" s="17" t="s">
        <v>492</v>
      </c>
      <c r="E102" s="17" t="s">
        <v>493</v>
      </c>
      <c r="F102" s="17" t="s">
        <v>494</v>
      </c>
      <c r="G102" s="17" t="s">
        <v>495</v>
      </c>
      <c r="H102" s="17" t="s">
        <v>496</v>
      </c>
      <c r="I102" s="17" t="s">
        <v>497</v>
      </c>
      <c r="J102" s="17" t="s">
        <v>498</v>
      </c>
      <c r="K102" s="26"/>
    </row>
    <row r="103" spans="1:11">
      <c r="B103" s="1" t="s">
        <v>280</v>
      </c>
      <c r="C103" s="29" t="s">
        <v>630</v>
      </c>
      <c r="D103" s="29" t="s">
        <v>615</v>
      </c>
      <c r="E103" s="29" t="s">
        <v>600</v>
      </c>
      <c r="F103" s="29" t="s">
        <v>585</v>
      </c>
      <c r="G103" s="29" t="s">
        <v>631</v>
      </c>
      <c r="H103" s="29" t="s">
        <v>616</v>
      </c>
      <c r="I103" s="29" t="s">
        <v>601</v>
      </c>
      <c r="J103" s="29" t="s">
        <v>586</v>
      </c>
      <c r="K103" s="26"/>
    </row>
    <row r="104" spans="1:11">
      <c r="B104" s="1"/>
      <c r="C104" s="26"/>
      <c r="D104" s="26"/>
      <c r="E104" s="26"/>
      <c r="F104" s="26"/>
      <c r="G104" s="26"/>
      <c r="H104" s="26"/>
      <c r="I104" s="26"/>
      <c r="J104" s="26"/>
      <c r="K104" s="26"/>
    </row>
    <row r="105" spans="1:11">
      <c r="A105" s="7" t="s">
        <v>278</v>
      </c>
      <c r="B105" s="26">
        <v>12</v>
      </c>
      <c r="C105" s="27" t="s">
        <v>457</v>
      </c>
      <c r="D105" s="27" t="s">
        <v>458</v>
      </c>
      <c r="E105" s="27" t="s">
        <v>459</v>
      </c>
      <c r="F105" s="27" t="s">
        <v>460</v>
      </c>
      <c r="G105" s="27" t="s">
        <v>461</v>
      </c>
      <c r="H105" s="27" t="s">
        <v>462</v>
      </c>
      <c r="I105" s="27" t="s">
        <v>463</v>
      </c>
      <c r="J105" s="27" t="s">
        <v>464</v>
      </c>
      <c r="K105" s="26"/>
    </row>
    <row r="106" spans="1:11">
      <c r="B106" s="1" t="s">
        <v>282</v>
      </c>
      <c r="C106" s="28" t="s">
        <v>630</v>
      </c>
      <c r="D106" s="28" t="s">
        <v>615</v>
      </c>
      <c r="E106" s="28" t="s">
        <v>600</v>
      </c>
      <c r="F106" s="28" t="s">
        <v>585</v>
      </c>
      <c r="G106" s="28" t="s">
        <v>631</v>
      </c>
      <c r="H106" s="28" t="s">
        <v>616</v>
      </c>
      <c r="I106" s="28" t="s">
        <v>601</v>
      </c>
      <c r="J106" s="28" t="s">
        <v>586</v>
      </c>
      <c r="K106" s="26"/>
    </row>
    <row r="107" spans="1:11">
      <c r="C107" s="17" t="s">
        <v>474</v>
      </c>
      <c r="D107" s="17" t="s">
        <v>464</v>
      </c>
      <c r="E107" s="17" t="s">
        <v>475</v>
      </c>
      <c r="F107" s="17" t="s">
        <v>476</v>
      </c>
      <c r="G107" s="17" t="s">
        <v>477</v>
      </c>
      <c r="H107" s="17" t="s">
        <v>478</v>
      </c>
      <c r="I107" s="17" t="s">
        <v>479</v>
      </c>
      <c r="J107" s="17" t="s">
        <v>480</v>
      </c>
      <c r="K107" s="17" t="s">
        <v>481</v>
      </c>
    </row>
    <row r="108" spans="1:11">
      <c r="C108" s="17" t="s">
        <v>632</v>
      </c>
      <c r="D108" s="17" t="s">
        <v>586</v>
      </c>
      <c r="E108" s="17" t="s">
        <v>633</v>
      </c>
      <c r="F108" s="17" t="s">
        <v>634</v>
      </c>
      <c r="G108" s="17" t="s">
        <v>196</v>
      </c>
      <c r="H108" s="17" t="s">
        <v>635</v>
      </c>
      <c r="I108" s="17" t="s">
        <v>636</v>
      </c>
      <c r="J108" s="17" t="s">
        <v>637</v>
      </c>
      <c r="K108" s="17" t="s">
        <v>638</v>
      </c>
    </row>
    <row r="109" spans="1:11">
      <c r="C109" s="17" t="s">
        <v>485</v>
      </c>
      <c r="D109" s="17" t="s">
        <v>486</v>
      </c>
      <c r="E109" s="17" t="s">
        <v>487</v>
      </c>
      <c r="F109" s="17" t="s">
        <v>488</v>
      </c>
      <c r="G109" s="17" t="s">
        <v>489</v>
      </c>
      <c r="H109" s="17" t="s">
        <v>490</v>
      </c>
      <c r="I109" s="26"/>
      <c r="J109" s="26"/>
      <c r="K109" s="26"/>
    </row>
    <row r="110" spans="1:11">
      <c r="C110" s="33" t="s">
        <v>639</v>
      </c>
      <c r="D110" s="33" t="s">
        <v>640</v>
      </c>
      <c r="E110" s="33" t="s">
        <v>641</v>
      </c>
      <c r="F110" s="33" t="s">
        <v>642</v>
      </c>
      <c r="G110" s="33" t="s">
        <v>643</v>
      </c>
      <c r="H110" s="33" t="s">
        <v>644</v>
      </c>
      <c r="I110" s="26"/>
      <c r="J110" s="26"/>
      <c r="K110" s="26"/>
    </row>
    <row r="111" spans="1:11">
      <c r="C111" s="17" t="s">
        <v>491</v>
      </c>
      <c r="D111" s="17" t="s">
        <v>492</v>
      </c>
      <c r="E111" s="17" t="s">
        <v>493</v>
      </c>
      <c r="F111" s="17" t="s">
        <v>494</v>
      </c>
      <c r="G111" s="17" t="s">
        <v>495</v>
      </c>
      <c r="H111" s="17" t="s">
        <v>496</v>
      </c>
      <c r="I111" s="17" t="s">
        <v>497</v>
      </c>
      <c r="J111" s="17" t="s">
        <v>498</v>
      </c>
      <c r="K111" s="26"/>
    </row>
    <row r="112" spans="1:11">
      <c r="B112" s="1" t="s">
        <v>283</v>
      </c>
      <c r="C112" s="29" t="s">
        <v>645</v>
      </c>
      <c r="D112" s="29" t="s">
        <v>630</v>
      </c>
      <c r="E112" s="29" t="s">
        <v>615</v>
      </c>
      <c r="F112" s="29" t="s">
        <v>600</v>
      </c>
      <c r="G112" s="29" t="s">
        <v>646</v>
      </c>
      <c r="H112" s="29" t="s">
        <v>631</v>
      </c>
      <c r="I112" s="29" t="s">
        <v>616</v>
      </c>
      <c r="J112" s="29" t="s">
        <v>601</v>
      </c>
      <c r="K112" s="26"/>
    </row>
    <row r="113" spans="1:11">
      <c r="B113" s="1"/>
      <c r="C113" s="26"/>
      <c r="D113" s="26"/>
      <c r="E113" s="26"/>
      <c r="F113" s="26"/>
      <c r="G113" s="26"/>
      <c r="H113" s="26"/>
      <c r="I113" s="26"/>
      <c r="J113" s="26"/>
      <c r="K113" s="26"/>
    </row>
    <row r="114" spans="1:11">
      <c r="A114" s="7" t="s">
        <v>281</v>
      </c>
      <c r="B114" s="26">
        <v>13</v>
      </c>
      <c r="C114" s="27" t="s">
        <v>457</v>
      </c>
      <c r="D114" s="27" t="s">
        <v>458</v>
      </c>
      <c r="E114" s="27" t="s">
        <v>459</v>
      </c>
      <c r="F114" s="27" t="s">
        <v>460</v>
      </c>
      <c r="G114" s="27" t="s">
        <v>461</v>
      </c>
      <c r="H114" s="27" t="s">
        <v>462</v>
      </c>
      <c r="I114" s="27" t="s">
        <v>463</v>
      </c>
      <c r="J114" s="27" t="s">
        <v>464</v>
      </c>
      <c r="K114" s="26"/>
    </row>
    <row r="115" spans="1:11">
      <c r="B115" s="1" t="s">
        <v>285</v>
      </c>
      <c r="C115" s="28" t="s">
        <v>645</v>
      </c>
      <c r="D115" s="28" t="s">
        <v>630</v>
      </c>
      <c r="E115" s="28" t="s">
        <v>615</v>
      </c>
      <c r="F115" s="28" t="s">
        <v>600</v>
      </c>
      <c r="G115" s="28" t="s">
        <v>646</v>
      </c>
      <c r="H115" s="28" t="s">
        <v>631</v>
      </c>
      <c r="I115" s="28" t="s">
        <v>616</v>
      </c>
      <c r="J115" s="28" t="s">
        <v>601</v>
      </c>
      <c r="K115" s="26"/>
    </row>
    <row r="116" spans="1:11">
      <c r="C116" s="17" t="s">
        <v>474</v>
      </c>
      <c r="D116" s="17" t="s">
        <v>464</v>
      </c>
      <c r="E116" s="17" t="s">
        <v>475</v>
      </c>
      <c r="F116" s="17" t="s">
        <v>476</v>
      </c>
      <c r="G116" s="17" t="s">
        <v>477</v>
      </c>
      <c r="H116" s="17" t="s">
        <v>478</v>
      </c>
      <c r="I116" s="17" t="s">
        <v>479</v>
      </c>
      <c r="J116" s="17" t="s">
        <v>480</v>
      </c>
      <c r="K116" s="17" t="s">
        <v>481</v>
      </c>
    </row>
    <row r="117" spans="1:11">
      <c r="C117" s="17" t="s">
        <v>647</v>
      </c>
      <c r="D117" s="17" t="s">
        <v>601</v>
      </c>
      <c r="E117" s="17" t="s">
        <v>648</v>
      </c>
      <c r="F117" s="17" t="s">
        <v>649</v>
      </c>
      <c r="G117" s="17" t="s">
        <v>197</v>
      </c>
      <c r="H117" s="17" t="s">
        <v>635</v>
      </c>
      <c r="I117" s="17" t="s">
        <v>650</v>
      </c>
      <c r="J117" s="17" t="s">
        <v>651</v>
      </c>
      <c r="K117" s="17" t="s">
        <v>652</v>
      </c>
    </row>
    <row r="118" spans="1:11">
      <c r="C118" s="17" t="s">
        <v>485</v>
      </c>
      <c r="D118" s="17" t="s">
        <v>486</v>
      </c>
      <c r="E118" s="17" t="s">
        <v>487</v>
      </c>
      <c r="F118" s="17" t="s">
        <v>488</v>
      </c>
      <c r="G118" s="17" t="s">
        <v>489</v>
      </c>
      <c r="H118" s="17" t="s">
        <v>490</v>
      </c>
      <c r="I118" s="26"/>
      <c r="J118" s="26"/>
      <c r="K118" s="26"/>
    </row>
    <row r="119" spans="1:11">
      <c r="C119" s="33" t="s">
        <v>653</v>
      </c>
      <c r="D119" s="33" t="s">
        <v>654</v>
      </c>
      <c r="E119" s="33" t="s">
        <v>655</v>
      </c>
      <c r="F119" s="33" t="s">
        <v>656</v>
      </c>
      <c r="G119" s="33" t="s">
        <v>657</v>
      </c>
      <c r="H119" s="33" t="s">
        <v>658</v>
      </c>
      <c r="I119" s="26"/>
      <c r="J119" s="26"/>
      <c r="K119" s="26"/>
    </row>
    <row r="120" spans="1:11">
      <c r="C120" s="17" t="s">
        <v>491</v>
      </c>
      <c r="D120" s="17" t="s">
        <v>492</v>
      </c>
      <c r="E120" s="17" t="s">
        <v>493</v>
      </c>
      <c r="F120" s="17" t="s">
        <v>494</v>
      </c>
      <c r="G120" s="17" t="s">
        <v>495</v>
      </c>
      <c r="H120" s="17" t="s">
        <v>496</v>
      </c>
      <c r="I120" s="17" t="s">
        <v>497</v>
      </c>
      <c r="J120" s="17" t="s">
        <v>498</v>
      </c>
      <c r="K120" s="26"/>
    </row>
    <row r="121" spans="1:11">
      <c r="B121" s="1" t="s">
        <v>286</v>
      </c>
      <c r="C121" s="29" t="s">
        <v>659</v>
      </c>
      <c r="D121" s="29" t="s">
        <v>645</v>
      </c>
      <c r="E121" s="29" t="s">
        <v>630</v>
      </c>
      <c r="F121" s="29" t="s">
        <v>615</v>
      </c>
      <c r="G121" s="29" t="s">
        <v>660</v>
      </c>
      <c r="H121" s="29" t="s">
        <v>646</v>
      </c>
      <c r="I121" s="29" t="s">
        <v>631</v>
      </c>
      <c r="J121" s="29" t="s">
        <v>616</v>
      </c>
      <c r="K121" s="26"/>
    </row>
    <row r="122" spans="1:11">
      <c r="B122" s="1"/>
      <c r="C122" s="26"/>
      <c r="D122" s="26"/>
      <c r="E122" s="26"/>
      <c r="F122" s="26"/>
      <c r="G122" s="26"/>
      <c r="H122" s="26"/>
      <c r="I122" s="26"/>
      <c r="J122" s="26"/>
      <c r="K122" s="26"/>
    </row>
    <row r="123" spans="1:11">
      <c r="A123" s="7" t="s">
        <v>284</v>
      </c>
      <c r="B123" s="26">
        <v>14</v>
      </c>
      <c r="C123" s="27" t="s">
        <v>457</v>
      </c>
      <c r="D123" s="27" t="s">
        <v>458</v>
      </c>
      <c r="E123" s="27" t="s">
        <v>459</v>
      </c>
      <c r="F123" s="27" t="s">
        <v>460</v>
      </c>
      <c r="G123" s="27" t="s">
        <v>461</v>
      </c>
      <c r="H123" s="27" t="s">
        <v>462</v>
      </c>
      <c r="I123" s="27" t="s">
        <v>463</v>
      </c>
      <c r="J123" s="27" t="s">
        <v>464</v>
      </c>
      <c r="K123" s="26"/>
    </row>
    <row r="124" spans="1:11">
      <c r="B124" s="1" t="s">
        <v>288</v>
      </c>
      <c r="C124" s="28" t="s">
        <v>659</v>
      </c>
      <c r="D124" s="28" t="s">
        <v>645</v>
      </c>
      <c r="E124" s="28" t="s">
        <v>630</v>
      </c>
      <c r="F124" s="28" t="s">
        <v>615</v>
      </c>
      <c r="G124" s="28" t="s">
        <v>660</v>
      </c>
      <c r="H124" s="28" t="s">
        <v>646</v>
      </c>
      <c r="I124" s="28" t="s">
        <v>631</v>
      </c>
      <c r="J124" s="28" t="s">
        <v>616</v>
      </c>
      <c r="K124" s="26"/>
    </row>
    <row r="125" spans="1:11">
      <c r="C125" s="17" t="s">
        <v>474</v>
      </c>
      <c r="D125" s="17" t="s">
        <v>464</v>
      </c>
      <c r="E125" s="17" t="s">
        <v>475</v>
      </c>
      <c r="F125" s="17" t="s">
        <v>476</v>
      </c>
      <c r="G125" s="17" t="s">
        <v>477</v>
      </c>
      <c r="H125" s="17" t="s">
        <v>478</v>
      </c>
      <c r="I125" s="17" t="s">
        <v>479</v>
      </c>
      <c r="J125" s="17" t="s">
        <v>480</v>
      </c>
      <c r="K125" s="17" t="s">
        <v>481</v>
      </c>
    </row>
    <row r="126" spans="1:11">
      <c r="C126" s="17" t="s">
        <v>661</v>
      </c>
      <c r="D126" s="17" t="s">
        <v>616</v>
      </c>
      <c r="E126" s="17" t="s">
        <v>662</v>
      </c>
      <c r="F126" s="17" t="s">
        <v>663</v>
      </c>
      <c r="G126" s="17" t="s">
        <v>198</v>
      </c>
      <c r="H126" s="17" t="s">
        <v>635</v>
      </c>
      <c r="I126" s="17" t="s">
        <v>664</v>
      </c>
      <c r="J126" s="17" t="s">
        <v>665</v>
      </c>
      <c r="K126" s="17" t="s">
        <v>666</v>
      </c>
    </row>
    <row r="127" spans="1:11">
      <c r="C127" s="17" t="s">
        <v>485</v>
      </c>
      <c r="D127" s="17" t="s">
        <v>486</v>
      </c>
      <c r="E127" s="17" t="s">
        <v>487</v>
      </c>
      <c r="F127" s="17" t="s">
        <v>488</v>
      </c>
      <c r="G127" s="17" t="s">
        <v>489</v>
      </c>
      <c r="H127" s="17" t="s">
        <v>490</v>
      </c>
      <c r="I127" s="26"/>
      <c r="J127" s="26"/>
      <c r="K127" s="26"/>
    </row>
    <row r="128" spans="1:11">
      <c r="C128" s="33" t="s">
        <v>667</v>
      </c>
      <c r="D128" s="33" t="s">
        <v>668</v>
      </c>
      <c r="E128" s="33" t="s">
        <v>669</v>
      </c>
      <c r="F128" s="33" t="s">
        <v>670</v>
      </c>
      <c r="G128" s="33" t="s">
        <v>671</v>
      </c>
      <c r="H128" s="33" t="s">
        <v>672</v>
      </c>
      <c r="I128" s="26"/>
      <c r="J128" s="26"/>
      <c r="K128" s="26"/>
    </row>
    <row r="129" spans="1:11">
      <c r="C129" s="17" t="s">
        <v>491</v>
      </c>
      <c r="D129" s="17" t="s">
        <v>492</v>
      </c>
      <c r="E129" s="17" t="s">
        <v>493</v>
      </c>
      <c r="F129" s="17" t="s">
        <v>494</v>
      </c>
      <c r="G129" s="17" t="s">
        <v>495</v>
      </c>
      <c r="H129" s="17" t="s">
        <v>496</v>
      </c>
      <c r="I129" s="17" t="s">
        <v>497</v>
      </c>
      <c r="J129" s="17" t="s">
        <v>498</v>
      </c>
      <c r="K129" s="26"/>
    </row>
    <row r="130" spans="1:11">
      <c r="B130" s="1" t="s">
        <v>289</v>
      </c>
      <c r="C130" s="29" t="s">
        <v>673</v>
      </c>
      <c r="D130" s="29" t="s">
        <v>659</v>
      </c>
      <c r="E130" s="29" t="s">
        <v>645</v>
      </c>
      <c r="F130" s="29" t="s">
        <v>630</v>
      </c>
      <c r="G130" s="29" t="s">
        <v>674</v>
      </c>
      <c r="H130" s="29" t="s">
        <v>660</v>
      </c>
      <c r="I130" s="29" t="s">
        <v>646</v>
      </c>
      <c r="J130" s="29" t="s">
        <v>631</v>
      </c>
      <c r="K130" s="26"/>
    </row>
    <row r="131" spans="1:11">
      <c r="B131" s="1"/>
      <c r="C131" s="26"/>
      <c r="D131" s="26"/>
      <c r="E131" s="26"/>
      <c r="F131" s="26"/>
      <c r="G131" s="26"/>
      <c r="H131" s="26"/>
      <c r="I131" s="26"/>
      <c r="J131" s="26"/>
      <c r="K131" s="26"/>
    </row>
    <row r="132" spans="1:11">
      <c r="A132" s="7" t="s">
        <v>287</v>
      </c>
      <c r="B132" s="26">
        <v>15</v>
      </c>
      <c r="C132" s="27" t="s">
        <v>457</v>
      </c>
      <c r="D132" s="27" t="s">
        <v>458</v>
      </c>
      <c r="E132" s="27" t="s">
        <v>459</v>
      </c>
      <c r="F132" s="27" t="s">
        <v>460</v>
      </c>
      <c r="G132" s="27" t="s">
        <v>461</v>
      </c>
      <c r="H132" s="27" t="s">
        <v>462</v>
      </c>
      <c r="I132" s="27" t="s">
        <v>463</v>
      </c>
      <c r="J132" s="27" t="s">
        <v>464</v>
      </c>
      <c r="K132" s="26"/>
    </row>
    <row r="133" spans="1:11">
      <c r="B133" s="1" t="s">
        <v>291</v>
      </c>
      <c r="C133" s="28" t="s">
        <v>673</v>
      </c>
      <c r="D133" s="28" t="s">
        <v>659</v>
      </c>
      <c r="E133" s="28" t="s">
        <v>645</v>
      </c>
      <c r="F133" s="28" t="s">
        <v>630</v>
      </c>
      <c r="G133" s="28" t="s">
        <v>674</v>
      </c>
      <c r="H133" s="28" t="s">
        <v>660</v>
      </c>
      <c r="I133" s="28" t="s">
        <v>646</v>
      </c>
      <c r="J133" s="28" t="s">
        <v>631</v>
      </c>
      <c r="K133" s="26"/>
    </row>
    <row r="134" spans="1:11">
      <c r="C134" s="17" t="s">
        <v>474</v>
      </c>
      <c r="D134" s="17" t="s">
        <v>464</v>
      </c>
      <c r="E134" s="17" t="s">
        <v>475</v>
      </c>
      <c r="F134" s="17" t="s">
        <v>476</v>
      </c>
      <c r="G134" s="17" t="s">
        <v>477</v>
      </c>
      <c r="H134" s="17" t="s">
        <v>478</v>
      </c>
      <c r="I134" s="17" t="s">
        <v>479</v>
      </c>
      <c r="J134" s="17" t="s">
        <v>480</v>
      </c>
      <c r="K134" s="17" t="s">
        <v>481</v>
      </c>
    </row>
    <row r="135" spans="1:11">
      <c r="C135" s="17" t="s">
        <v>675</v>
      </c>
      <c r="D135" s="17" t="s">
        <v>631</v>
      </c>
      <c r="E135" s="17" t="s">
        <v>676</v>
      </c>
      <c r="F135" s="17" t="s">
        <v>677</v>
      </c>
      <c r="G135" s="17" t="s">
        <v>199</v>
      </c>
      <c r="H135" s="17" t="s">
        <v>635</v>
      </c>
      <c r="I135" s="17" t="s">
        <v>678</v>
      </c>
      <c r="J135" s="17" t="s">
        <v>679</v>
      </c>
      <c r="K135" s="17" t="s">
        <v>680</v>
      </c>
    </row>
    <row r="136" spans="1:11">
      <c r="C136" s="17" t="s">
        <v>485</v>
      </c>
      <c r="D136" s="17" t="s">
        <v>486</v>
      </c>
      <c r="E136" s="17" t="s">
        <v>487</v>
      </c>
      <c r="F136" s="17" t="s">
        <v>488</v>
      </c>
      <c r="G136" s="17" t="s">
        <v>489</v>
      </c>
      <c r="H136" s="17" t="s">
        <v>490</v>
      </c>
      <c r="I136" s="26"/>
      <c r="J136" s="26"/>
      <c r="K136" s="26"/>
    </row>
    <row r="137" spans="1:11">
      <c r="C137" s="33" t="s">
        <v>681</v>
      </c>
      <c r="D137" s="33" t="s">
        <v>682</v>
      </c>
      <c r="E137" s="33" t="s">
        <v>683</v>
      </c>
      <c r="F137" s="33" t="s">
        <v>684</v>
      </c>
      <c r="G137" s="33" t="s">
        <v>685</v>
      </c>
      <c r="H137" s="33" t="s">
        <v>686</v>
      </c>
      <c r="I137" s="26"/>
      <c r="J137" s="26"/>
      <c r="K137" s="26"/>
    </row>
    <row r="138" spans="1:11">
      <c r="C138" s="17" t="s">
        <v>491</v>
      </c>
      <c r="D138" s="17" t="s">
        <v>492</v>
      </c>
      <c r="E138" s="17" t="s">
        <v>493</v>
      </c>
      <c r="F138" s="17" t="s">
        <v>494</v>
      </c>
      <c r="G138" s="17" t="s">
        <v>495</v>
      </c>
      <c r="H138" s="17" t="s">
        <v>496</v>
      </c>
      <c r="I138" s="17" t="s">
        <v>497</v>
      </c>
      <c r="J138" s="17" t="s">
        <v>498</v>
      </c>
      <c r="K138" s="26"/>
    </row>
    <row r="139" spans="1:11">
      <c r="B139" s="1" t="s">
        <v>292</v>
      </c>
      <c r="C139" s="29" t="s">
        <v>687</v>
      </c>
      <c r="D139" s="29" t="s">
        <v>673</v>
      </c>
      <c r="E139" s="29" t="s">
        <v>659</v>
      </c>
      <c r="F139" s="29" t="s">
        <v>645</v>
      </c>
      <c r="G139" s="29" t="s">
        <v>688</v>
      </c>
      <c r="H139" s="29" t="s">
        <v>674</v>
      </c>
      <c r="I139" s="29" t="s">
        <v>660</v>
      </c>
      <c r="J139" s="29" t="s">
        <v>646</v>
      </c>
      <c r="K139" s="26"/>
    </row>
    <row r="140" spans="1:11">
      <c r="B140" s="1"/>
      <c r="C140" s="26"/>
      <c r="D140" s="26"/>
      <c r="E140" s="26"/>
      <c r="F140" s="26"/>
      <c r="G140" s="26"/>
      <c r="H140" s="26"/>
      <c r="I140" s="26"/>
      <c r="J140" s="26"/>
      <c r="K140" s="26"/>
    </row>
    <row r="141" spans="1:11">
      <c r="A141" s="7" t="s">
        <v>290</v>
      </c>
      <c r="B141" s="26">
        <v>16</v>
      </c>
      <c r="C141" s="27" t="s">
        <v>457</v>
      </c>
      <c r="D141" s="27" t="s">
        <v>458</v>
      </c>
      <c r="E141" s="27" t="s">
        <v>459</v>
      </c>
      <c r="F141" s="27" t="s">
        <v>460</v>
      </c>
      <c r="G141" s="27" t="s">
        <v>461</v>
      </c>
      <c r="H141" s="27" t="s">
        <v>462</v>
      </c>
      <c r="I141" s="27" t="s">
        <v>463</v>
      </c>
      <c r="J141" s="27" t="s">
        <v>464</v>
      </c>
      <c r="K141" s="26"/>
    </row>
    <row r="142" spans="1:11">
      <c r="B142" s="1" t="s">
        <v>294</v>
      </c>
      <c r="C142" s="28" t="s">
        <v>687</v>
      </c>
      <c r="D142" s="28" t="s">
        <v>673</v>
      </c>
      <c r="E142" s="28" t="s">
        <v>659</v>
      </c>
      <c r="F142" s="28" t="s">
        <v>645</v>
      </c>
      <c r="G142" s="28" t="s">
        <v>688</v>
      </c>
      <c r="H142" s="28" t="s">
        <v>674</v>
      </c>
      <c r="I142" s="28" t="s">
        <v>660</v>
      </c>
      <c r="J142" s="28" t="s">
        <v>646</v>
      </c>
      <c r="K142" s="26"/>
    </row>
    <row r="143" spans="1:11">
      <c r="C143" s="17" t="s">
        <v>474</v>
      </c>
      <c r="D143" s="17" t="s">
        <v>464</v>
      </c>
      <c r="E143" s="17" t="s">
        <v>475</v>
      </c>
      <c r="F143" s="17" t="s">
        <v>476</v>
      </c>
      <c r="G143" s="17" t="s">
        <v>477</v>
      </c>
      <c r="H143" s="17" t="s">
        <v>478</v>
      </c>
      <c r="I143" s="17" t="s">
        <v>479</v>
      </c>
      <c r="J143" s="17" t="s">
        <v>480</v>
      </c>
      <c r="K143" s="17" t="s">
        <v>481</v>
      </c>
    </row>
    <row r="144" spans="1:11">
      <c r="C144" s="17" t="s">
        <v>689</v>
      </c>
      <c r="D144" s="17" t="s">
        <v>646</v>
      </c>
      <c r="E144" s="17" t="s">
        <v>690</v>
      </c>
      <c r="F144" s="17" t="s">
        <v>691</v>
      </c>
      <c r="G144" s="17" t="s">
        <v>200</v>
      </c>
      <c r="H144" s="17" t="s">
        <v>692</v>
      </c>
      <c r="I144" s="17" t="s">
        <v>693</v>
      </c>
      <c r="J144" s="17" t="s">
        <v>694</v>
      </c>
      <c r="K144" s="17" t="s">
        <v>695</v>
      </c>
    </row>
    <row r="145" spans="1:11">
      <c r="C145" s="17" t="s">
        <v>485</v>
      </c>
      <c r="D145" s="17" t="s">
        <v>486</v>
      </c>
      <c r="E145" s="17" t="s">
        <v>487</v>
      </c>
      <c r="F145" s="17" t="s">
        <v>488</v>
      </c>
      <c r="G145" s="17" t="s">
        <v>489</v>
      </c>
      <c r="H145" s="17" t="s">
        <v>490</v>
      </c>
      <c r="I145" s="26"/>
      <c r="J145" s="26"/>
      <c r="K145" s="26"/>
    </row>
    <row r="146" spans="1:11">
      <c r="C146" s="33" t="s">
        <v>696</v>
      </c>
      <c r="D146" s="33" t="s">
        <v>697</v>
      </c>
      <c r="E146" s="33" t="s">
        <v>698</v>
      </c>
      <c r="F146" s="33" t="s">
        <v>699</v>
      </c>
      <c r="G146" s="33" t="s">
        <v>700</v>
      </c>
      <c r="H146" s="33" t="s">
        <v>701</v>
      </c>
      <c r="I146" s="26"/>
      <c r="J146" s="26"/>
      <c r="K146" s="26"/>
    </row>
    <row r="147" spans="1:11">
      <c r="C147" s="17" t="s">
        <v>491</v>
      </c>
      <c r="D147" s="17" t="s">
        <v>492</v>
      </c>
      <c r="E147" s="17" t="s">
        <v>493</v>
      </c>
      <c r="F147" s="17" t="s">
        <v>494</v>
      </c>
      <c r="G147" s="17" t="s">
        <v>495</v>
      </c>
      <c r="H147" s="17" t="s">
        <v>496</v>
      </c>
      <c r="I147" s="17" t="s">
        <v>497</v>
      </c>
      <c r="J147" s="17" t="s">
        <v>498</v>
      </c>
      <c r="K147" s="26"/>
    </row>
    <row r="148" spans="1:11">
      <c r="B148" s="1" t="s">
        <v>295</v>
      </c>
      <c r="C148" s="29" t="s">
        <v>702</v>
      </c>
      <c r="D148" s="29" t="s">
        <v>687</v>
      </c>
      <c r="E148" s="29" t="s">
        <v>673</v>
      </c>
      <c r="F148" s="29" t="s">
        <v>659</v>
      </c>
      <c r="G148" s="29" t="s">
        <v>703</v>
      </c>
      <c r="H148" s="29" t="s">
        <v>688</v>
      </c>
      <c r="I148" s="29" t="s">
        <v>674</v>
      </c>
      <c r="J148" s="29" t="s">
        <v>660</v>
      </c>
      <c r="K148" s="26"/>
    </row>
    <row r="149" spans="1:11">
      <c r="B149" s="1"/>
      <c r="C149" s="26"/>
      <c r="D149" s="26"/>
      <c r="E149" s="26"/>
      <c r="F149" s="26"/>
      <c r="G149" s="26"/>
      <c r="H149" s="26"/>
      <c r="I149" s="26"/>
      <c r="J149" s="26"/>
      <c r="K149" s="26"/>
    </row>
    <row r="150" spans="1:11">
      <c r="A150" s="7" t="s">
        <v>293</v>
      </c>
      <c r="B150" s="26">
        <v>17</v>
      </c>
      <c r="C150" s="27" t="s">
        <v>457</v>
      </c>
      <c r="D150" s="27" t="s">
        <v>458</v>
      </c>
      <c r="E150" s="27" t="s">
        <v>459</v>
      </c>
      <c r="F150" s="27" t="s">
        <v>460</v>
      </c>
      <c r="G150" s="27" t="s">
        <v>461</v>
      </c>
      <c r="H150" s="27" t="s">
        <v>462</v>
      </c>
      <c r="I150" s="27" t="s">
        <v>463</v>
      </c>
      <c r="J150" s="27" t="s">
        <v>464</v>
      </c>
      <c r="K150" s="26"/>
    </row>
    <row r="151" spans="1:11">
      <c r="B151" s="1" t="s">
        <v>297</v>
      </c>
      <c r="C151" s="28" t="s">
        <v>702</v>
      </c>
      <c r="D151" s="28" t="s">
        <v>687</v>
      </c>
      <c r="E151" s="28" t="s">
        <v>673</v>
      </c>
      <c r="F151" s="28" t="s">
        <v>659</v>
      </c>
      <c r="G151" s="28" t="s">
        <v>703</v>
      </c>
      <c r="H151" s="28" t="s">
        <v>688</v>
      </c>
      <c r="I151" s="28" t="s">
        <v>674</v>
      </c>
      <c r="J151" s="28" t="s">
        <v>660</v>
      </c>
      <c r="K151" s="26"/>
    </row>
    <row r="152" spans="1:11">
      <c r="C152" s="17" t="s">
        <v>474</v>
      </c>
      <c r="D152" s="17" t="s">
        <v>464</v>
      </c>
      <c r="E152" s="17" t="s">
        <v>475</v>
      </c>
      <c r="F152" s="17" t="s">
        <v>476</v>
      </c>
      <c r="G152" s="17" t="s">
        <v>477</v>
      </c>
      <c r="H152" s="17" t="s">
        <v>478</v>
      </c>
      <c r="I152" s="17" t="s">
        <v>479</v>
      </c>
      <c r="J152" s="17" t="s">
        <v>480</v>
      </c>
      <c r="K152" s="17" t="s">
        <v>481</v>
      </c>
    </row>
    <row r="153" spans="1:11">
      <c r="C153" s="17" t="s">
        <v>704</v>
      </c>
      <c r="D153" s="17" t="s">
        <v>660</v>
      </c>
      <c r="E153" s="17" t="s">
        <v>705</v>
      </c>
      <c r="F153" s="17" t="s">
        <v>706</v>
      </c>
      <c r="G153" s="17" t="s">
        <v>201</v>
      </c>
      <c r="H153" s="17" t="s">
        <v>707</v>
      </c>
      <c r="I153" s="17" t="s">
        <v>708</v>
      </c>
      <c r="J153" s="17" t="s">
        <v>709</v>
      </c>
      <c r="K153" s="17" t="s">
        <v>710</v>
      </c>
    </row>
    <row r="154" spans="1:11">
      <c r="C154" s="17" t="s">
        <v>485</v>
      </c>
      <c r="D154" s="17" t="s">
        <v>486</v>
      </c>
      <c r="E154" s="17" t="s">
        <v>487</v>
      </c>
      <c r="F154" s="17" t="s">
        <v>488</v>
      </c>
      <c r="G154" s="17" t="s">
        <v>489</v>
      </c>
      <c r="H154" s="17" t="s">
        <v>490</v>
      </c>
      <c r="I154" s="26"/>
      <c r="J154" s="26"/>
      <c r="K154" s="26"/>
    </row>
    <row r="155" spans="1:11">
      <c r="C155" s="33" t="s">
        <v>711</v>
      </c>
      <c r="D155" s="33" t="s">
        <v>712</v>
      </c>
      <c r="E155" s="33" t="s">
        <v>713</v>
      </c>
      <c r="F155" s="33" t="s">
        <v>714</v>
      </c>
      <c r="G155" s="33" t="s">
        <v>715</v>
      </c>
      <c r="H155" s="33" t="s">
        <v>716</v>
      </c>
      <c r="I155" s="26"/>
      <c r="J155" s="26"/>
      <c r="K155" s="26"/>
    </row>
    <row r="156" spans="1:11">
      <c r="C156" s="17" t="s">
        <v>491</v>
      </c>
      <c r="D156" s="17" t="s">
        <v>492</v>
      </c>
      <c r="E156" s="17" t="s">
        <v>493</v>
      </c>
      <c r="F156" s="17" t="s">
        <v>494</v>
      </c>
      <c r="G156" s="17" t="s">
        <v>495</v>
      </c>
      <c r="H156" s="17" t="s">
        <v>496</v>
      </c>
      <c r="I156" s="17" t="s">
        <v>497</v>
      </c>
      <c r="J156" s="17" t="s">
        <v>498</v>
      </c>
      <c r="K156" s="26"/>
    </row>
    <row r="157" spans="1:11">
      <c r="B157" s="1" t="s">
        <v>298</v>
      </c>
      <c r="C157" s="29" t="s">
        <v>717</v>
      </c>
      <c r="D157" s="29" t="s">
        <v>702</v>
      </c>
      <c r="E157" s="29" t="s">
        <v>687</v>
      </c>
      <c r="F157" s="29" t="s">
        <v>673</v>
      </c>
      <c r="G157" s="29" t="s">
        <v>718</v>
      </c>
      <c r="H157" s="29" t="s">
        <v>703</v>
      </c>
      <c r="I157" s="29" t="s">
        <v>688</v>
      </c>
      <c r="J157" s="29" t="s">
        <v>674</v>
      </c>
      <c r="K157" s="26"/>
    </row>
    <row r="158" spans="1:11">
      <c r="B158" s="1"/>
      <c r="C158" s="26"/>
      <c r="D158" s="26"/>
      <c r="E158" s="26"/>
      <c r="F158" s="26"/>
      <c r="G158" s="26"/>
      <c r="H158" s="26"/>
      <c r="I158" s="26"/>
      <c r="J158" s="26"/>
      <c r="K158" s="26"/>
    </row>
    <row r="159" spans="1:11">
      <c r="A159" s="7" t="s">
        <v>296</v>
      </c>
      <c r="B159" s="26">
        <v>18</v>
      </c>
      <c r="C159" s="27" t="s">
        <v>457</v>
      </c>
      <c r="D159" s="27" t="s">
        <v>458</v>
      </c>
      <c r="E159" s="27" t="s">
        <v>459</v>
      </c>
      <c r="F159" s="27" t="s">
        <v>460</v>
      </c>
      <c r="G159" s="27" t="s">
        <v>461</v>
      </c>
      <c r="H159" s="27" t="s">
        <v>462</v>
      </c>
      <c r="I159" s="27" t="s">
        <v>463</v>
      </c>
      <c r="J159" s="27" t="s">
        <v>464</v>
      </c>
      <c r="K159" s="26"/>
    </row>
    <row r="160" spans="1:11">
      <c r="B160" s="1" t="s">
        <v>300</v>
      </c>
      <c r="C160" s="28" t="s">
        <v>717</v>
      </c>
      <c r="D160" s="28" t="s">
        <v>702</v>
      </c>
      <c r="E160" s="28" t="s">
        <v>687</v>
      </c>
      <c r="F160" s="28" t="s">
        <v>673</v>
      </c>
      <c r="G160" s="28" t="s">
        <v>718</v>
      </c>
      <c r="H160" s="28" t="s">
        <v>703</v>
      </c>
      <c r="I160" s="28" t="s">
        <v>688</v>
      </c>
      <c r="J160" s="28" t="s">
        <v>674</v>
      </c>
      <c r="K160" s="26"/>
    </row>
    <row r="161" spans="1:11">
      <c r="C161" s="17" t="s">
        <v>474</v>
      </c>
      <c r="D161" s="17" t="s">
        <v>464</v>
      </c>
      <c r="E161" s="17" t="s">
        <v>475</v>
      </c>
      <c r="F161" s="17" t="s">
        <v>476</v>
      </c>
      <c r="G161" s="17" t="s">
        <v>477</v>
      </c>
      <c r="H161" s="17" t="s">
        <v>478</v>
      </c>
      <c r="I161" s="17" t="s">
        <v>479</v>
      </c>
      <c r="J161" s="17" t="s">
        <v>480</v>
      </c>
      <c r="K161" s="17" t="s">
        <v>481</v>
      </c>
    </row>
    <row r="162" spans="1:11">
      <c r="C162" s="17" t="s">
        <v>719</v>
      </c>
      <c r="D162" s="17" t="s">
        <v>674</v>
      </c>
      <c r="E162" s="17" t="s">
        <v>720</v>
      </c>
      <c r="F162" s="17" t="s">
        <v>721</v>
      </c>
      <c r="G162" s="17" t="s">
        <v>202</v>
      </c>
      <c r="H162" s="17" t="s">
        <v>722</v>
      </c>
      <c r="I162" s="17" t="s">
        <v>723</v>
      </c>
      <c r="J162" s="17" t="s">
        <v>724</v>
      </c>
      <c r="K162" s="17" t="s">
        <v>725</v>
      </c>
    </row>
    <row r="163" spans="1:11">
      <c r="C163" s="17" t="s">
        <v>485</v>
      </c>
      <c r="D163" s="17" t="s">
        <v>486</v>
      </c>
      <c r="E163" s="17" t="s">
        <v>487</v>
      </c>
      <c r="F163" s="17" t="s">
        <v>488</v>
      </c>
      <c r="G163" s="17" t="s">
        <v>489</v>
      </c>
      <c r="H163" s="17" t="s">
        <v>490</v>
      </c>
      <c r="I163" s="26"/>
      <c r="J163" s="26"/>
      <c r="K163" s="26"/>
    </row>
    <row r="164" spans="1:11">
      <c r="C164" s="33" t="s">
        <v>726</v>
      </c>
      <c r="D164" s="33" t="s">
        <v>727</v>
      </c>
      <c r="E164" s="33" t="s">
        <v>728</v>
      </c>
      <c r="F164" s="33" t="s">
        <v>729</v>
      </c>
      <c r="G164" s="33" t="s">
        <v>730</v>
      </c>
      <c r="H164" s="33" t="s">
        <v>731</v>
      </c>
      <c r="I164" s="26"/>
      <c r="J164" s="26"/>
      <c r="K164" s="26"/>
    </row>
    <row r="165" spans="1:11">
      <c r="C165" s="17" t="s">
        <v>491</v>
      </c>
      <c r="D165" s="17" t="s">
        <v>492</v>
      </c>
      <c r="E165" s="17" t="s">
        <v>493</v>
      </c>
      <c r="F165" s="17" t="s">
        <v>494</v>
      </c>
      <c r="G165" s="17" t="s">
        <v>495</v>
      </c>
      <c r="H165" s="17" t="s">
        <v>496</v>
      </c>
      <c r="I165" s="17" t="s">
        <v>497</v>
      </c>
      <c r="J165" s="17" t="s">
        <v>498</v>
      </c>
      <c r="K165" s="26"/>
    </row>
    <row r="166" spans="1:11">
      <c r="B166" s="1" t="s">
        <v>301</v>
      </c>
      <c r="C166" s="29" t="s">
        <v>732</v>
      </c>
      <c r="D166" s="29" t="s">
        <v>717</v>
      </c>
      <c r="E166" s="29" t="s">
        <v>702</v>
      </c>
      <c r="F166" s="29" t="s">
        <v>687</v>
      </c>
      <c r="G166" s="29" t="s">
        <v>733</v>
      </c>
      <c r="H166" s="29" t="s">
        <v>718</v>
      </c>
      <c r="I166" s="29" t="s">
        <v>703</v>
      </c>
      <c r="J166" s="29" t="s">
        <v>688</v>
      </c>
      <c r="K166" s="26"/>
    </row>
    <row r="167" spans="1:11">
      <c r="B167" s="1"/>
      <c r="C167" s="26"/>
      <c r="D167" s="26"/>
      <c r="E167" s="26"/>
      <c r="F167" s="26"/>
      <c r="G167" s="26"/>
      <c r="H167" s="26"/>
      <c r="I167" s="26"/>
      <c r="J167" s="26"/>
      <c r="K167" s="26"/>
    </row>
    <row r="168" spans="1:11">
      <c r="A168" s="7" t="s">
        <v>299</v>
      </c>
      <c r="B168" s="26">
        <v>19</v>
      </c>
      <c r="C168" s="27" t="s">
        <v>457</v>
      </c>
      <c r="D168" s="27" t="s">
        <v>458</v>
      </c>
      <c r="E168" s="27" t="s">
        <v>459</v>
      </c>
      <c r="F168" s="27" t="s">
        <v>460</v>
      </c>
      <c r="G168" s="27" t="s">
        <v>461</v>
      </c>
      <c r="H168" s="27" t="s">
        <v>462</v>
      </c>
      <c r="I168" s="27" t="s">
        <v>463</v>
      </c>
      <c r="J168" s="27" t="s">
        <v>464</v>
      </c>
      <c r="K168" s="26"/>
    </row>
    <row r="169" spans="1:11">
      <c r="B169" s="1" t="s">
        <v>303</v>
      </c>
      <c r="C169" s="28" t="s">
        <v>732</v>
      </c>
      <c r="D169" s="28" t="s">
        <v>717</v>
      </c>
      <c r="E169" s="28" t="s">
        <v>702</v>
      </c>
      <c r="F169" s="28" t="s">
        <v>687</v>
      </c>
      <c r="G169" s="28" t="s">
        <v>733</v>
      </c>
      <c r="H169" s="28" t="s">
        <v>718</v>
      </c>
      <c r="I169" s="28" t="s">
        <v>703</v>
      </c>
      <c r="J169" s="28" t="s">
        <v>688</v>
      </c>
      <c r="K169" s="26"/>
    </row>
    <row r="170" spans="1:11">
      <c r="C170" s="17" t="s">
        <v>474</v>
      </c>
      <c r="D170" s="17" t="s">
        <v>464</v>
      </c>
      <c r="E170" s="17" t="s">
        <v>475</v>
      </c>
      <c r="F170" s="17" t="s">
        <v>476</v>
      </c>
      <c r="G170" s="17" t="s">
        <v>477</v>
      </c>
      <c r="H170" s="17" t="s">
        <v>478</v>
      </c>
      <c r="I170" s="17" t="s">
        <v>479</v>
      </c>
      <c r="J170" s="17" t="s">
        <v>480</v>
      </c>
      <c r="K170" s="17" t="s">
        <v>481</v>
      </c>
    </row>
    <row r="171" spans="1:11">
      <c r="C171" s="17" t="s">
        <v>734</v>
      </c>
      <c r="D171" s="17" t="s">
        <v>688</v>
      </c>
      <c r="E171" s="17" t="s">
        <v>735</v>
      </c>
      <c r="F171" s="17" t="s">
        <v>736</v>
      </c>
      <c r="G171" s="17" t="s">
        <v>203</v>
      </c>
      <c r="H171" s="17" t="s">
        <v>737</v>
      </c>
      <c r="I171" s="17" t="s">
        <v>738</v>
      </c>
      <c r="J171" s="17" t="s">
        <v>739</v>
      </c>
      <c r="K171" s="17" t="s">
        <v>740</v>
      </c>
    </row>
    <row r="172" spans="1:11">
      <c r="C172" s="17" t="s">
        <v>485</v>
      </c>
      <c r="D172" s="17" t="s">
        <v>486</v>
      </c>
      <c r="E172" s="17" t="s">
        <v>487</v>
      </c>
      <c r="F172" s="17" t="s">
        <v>488</v>
      </c>
      <c r="G172" s="17" t="s">
        <v>489</v>
      </c>
      <c r="H172" s="17" t="s">
        <v>490</v>
      </c>
      <c r="I172" s="26"/>
      <c r="J172" s="26"/>
      <c r="K172" s="26"/>
    </row>
    <row r="173" spans="1:11">
      <c r="C173" s="33" t="s">
        <v>741</v>
      </c>
      <c r="D173" s="33" t="s">
        <v>742</v>
      </c>
      <c r="E173" s="33" t="s">
        <v>743</v>
      </c>
      <c r="F173" s="33" t="s">
        <v>744</v>
      </c>
      <c r="G173" s="33" t="s">
        <v>745</v>
      </c>
      <c r="H173" s="33" t="s">
        <v>746</v>
      </c>
      <c r="I173" s="26"/>
      <c r="J173" s="26"/>
      <c r="K173" s="26"/>
    </row>
    <row r="174" spans="1:11">
      <c r="C174" s="17" t="s">
        <v>491</v>
      </c>
      <c r="D174" s="17" t="s">
        <v>492</v>
      </c>
      <c r="E174" s="17" t="s">
        <v>493</v>
      </c>
      <c r="F174" s="17" t="s">
        <v>494</v>
      </c>
      <c r="G174" s="17" t="s">
        <v>495</v>
      </c>
      <c r="H174" s="17" t="s">
        <v>496</v>
      </c>
      <c r="I174" s="17" t="s">
        <v>497</v>
      </c>
      <c r="J174" s="17" t="s">
        <v>498</v>
      </c>
      <c r="K174" s="26"/>
    </row>
    <row r="175" spans="1:11">
      <c r="B175" s="1" t="s">
        <v>304</v>
      </c>
      <c r="C175" s="29" t="s">
        <v>747</v>
      </c>
      <c r="D175" s="29" t="s">
        <v>732</v>
      </c>
      <c r="E175" s="29" t="s">
        <v>717</v>
      </c>
      <c r="F175" s="29" t="s">
        <v>702</v>
      </c>
      <c r="G175" s="29" t="s">
        <v>748</v>
      </c>
      <c r="H175" s="29" t="s">
        <v>733</v>
      </c>
      <c r="I175" s="29" t="s">
        <v>718</v>
      </c>
      <c r="J175" s="29" t="s">
        <v>703</v>
      </c>
      <c r="K175" s="26"/>
    </row>
    <row r="176" spans="1:11">
      <c r="B176" s="1"/>
      <c r="C176" s="26"/>
      <c r="D176" s="26"/>
      <c r="E176" s="26"/>
      <c r="F176" s="26"/>
      <c r="G176" s="26"/>
      <c r="H176" s="26"/>
      <c r="I176" s="26"/>
      <c r="J176" s="26"/>
      <c r="K176" s="26"/>
    </row>
    <row r="177" spans="1:11">
      <c r="A177" s="7" t="s">
        <v>302</v>
      </c>
      <c r="B177" s="26">
        <v>20</v>
      </c>
      <c r="C177" s="27" t="s">
        <v>457</v>
      </c>
      <c r="D177" s="27" t="s">
        <v>458</v>
      </c>
      <c r="E177" s="27" t="s">
        <v>459</v>
      </c>
      <c r="F177" s="27" t="s">
        <v>460</v>
      </c>
      <c r="G177" s="27" t="s">
        <v>461</v>
      </c>
      <c r="H177" s="27" t="s">
        <v>462</v>
      </c>
      <c r="I177" s="27" t="s">
        <v>463</v>
      </c>
      <c r="J177" s="27" t="s">
        <v>464</v>
      </c>
      <c r="K177" s="26"/>
    </row>
    <row r="178" spans="1:11">
      <c r="B178" s="1" t="s">
        <v>306</v>
      </c>
      <c r="C178" s="28" t="s">
        <v>747</v>
      </c>
      <c r="D178" s="28" t="s">
        <v>732</v>
      </c>
      <c r="E178" s="28" t="s">
        <v>717</v>
      </c>
      <c r="F178" s="28" t="s">
        <v>702</v>
      </c>
      <c r="G178" s="28" t="s">
        <v>748</v>
      </c>
      <c r="H178" s="28" t="s">
        <v>733</v>
      </c>
      <c r="I178" s="28" t="s">
        <v>718</v>
      </c>
      <c r="J178" s="28" t="s">
        <v>703</v>
      </c>
      <c r="K178" s="26"/>
    </row>
    <row r="179" spans="1:11">
      <c r="C179" s="17" t="s">
        <v>474</v>
      </c>
      <c r="D179" s="17" t="s">
        <v>464</v>
      </c>
      <c r="E179" s="17" t="s">
        <v>475</v>
      </c>
      <c r="F179" s="17" t="s">
        <v>476</v>
      </c>
      <c r="G179" s="17" t="s">
        <v>477</v>
      </c>
      <c r="H179" s="17" t="s">
        <v>478</v>
      </c>
      <c r="I179" s="17" t="s">
        <v>479</v>
      </c>
      <c r="J179" s="17" t="s">
        <v>480</v>
      </c>
      <c r="K179" s="17" t="s">
        <v>481</v>
      </c>
    </row>
    <row r="180" spans="1:11">
      <c r="C180" s="17" t="s">
        <v>749</v>
      </c>
      <c r="D180" s="17" t="s">
        <v>703</v>
      </c>
      <c r="E180" s="17" t="s">
        <v>750</v>
      </c>
      <c r="F180" s="17" t="s">
        <v>751</v>
      </c>
      <c r="G180" s="17" t="s">
        <v>204</v>
      </c>
      <c r="H180" s="17" t="s">
        <v>752</v>
      </c>
      <c r="I180" s="17" t="s">
        <v>753</v>
      </c>
      <c r="J180" s="17" t="s">
        <v>754</v>
      </c>
      <c r="K180" s="17" t="s">
        <v>755</v>
      </c>
    </row>
    <row r="181" spans="1:11">
      <c r="C181" s="17" t="s">
        <v>485</v>
      </c>
      <c r="D181" s="17" t="s">
        <v>486</v>
      </c>
      <c r="E181" s="17" t="s">
        <v>487</v>
      </c>
      <c r="F181" s="17" t="s">
        <v>488</v>
      </c>
      <c r="G181" s="17" t="s">
        <v>489</v>
      </c>
      <c r="H181" s="17" t="s">
        <v>490</v>
      </c>
      <c r="I181" s="26"/>
      <c r="J181" s="26"/>
      <c r="K181" s="26"/>
    </row>
    <row r="182" spans="1:11">
      <c r="C182" s="33" t="s">
        <v>756</v>
      </c>
      <c r="D182" s="33" t="s">
        <v>757</v>
      </c>
      <c r="E182" s="33" t="s">
        <v>758</v>
      </c>
      <c r="F182" s="33" t="s">
        <v>759</v>
      </c>
      <c r="G182" s="33" t="s">
        <v>760</v>
      </c>
      <c r="H182" s="33" t="s">
        <v>761</v>
      </c>
      <c r="I182" s="26"/>
      <c r="J182" s="26"/>
      <c r="K182" s="26"/>
    </row>
    <row r="183" spans="1:11">
      <c r="C183" s="17" t="s">
        <v>491</v>
      </c>
      <c r="D183" s="17" t="s">
        <v>492</v>
      </c>
      <c r="E183" s="17" t="s">
        <v>493</v>
      </c>
      <c r="F183" s="17" t="s">
        <v>494</v>
      </c>
      <c r="G183" s="17" t="s">
        <v>495</v>
      </c>
      <c r="H183" s="17" t="s">
        <v>496</v>
      </c>
      <c r="I183" s="17" t="s">
        <v>497</v>
      </c>
      <c r="J183" s="17" t="s">
        <v>498</v>
      </c>
      <c r="K183" s="26"/>
    </row>
    <row r="184" spans="1:11">
      <c r="B184" s="1" t="s">
        <v>307</v>
      </c>
      <c r="C184" s="29" t="s">
        <v>762</v>
      </c>
      <c r="D184" s="29" t="s">
        <v>747</v>
      </c>
      <c r="E184" s="29" t="s">
        <v>732</v>
      </c>
      <c r="F184" s="29" t="s">
        <v>717</v>
      </c>
      <c r="G184" s="29" t="s">
        <v>763</v>
      </c>
      <c r="H184" s="29" t="s">
        <v>748</v>
      </c>
      <c r="I184" s="29" t="s">
        <v>733</v>
      </c>
      <c r="J184" s="29" t="s">
        <v>718</v>
      </c>
      <c r="K184" s="26"/>
    </row>
    <row r="185" spans="1:11">
      <c r="B185" s="1"/>
      <c r="C185" s="26"/>
      <c r="D185" s="26"/>
      <c r="E185" s="26"/>
      <c r="F185" s="26"/>
      <c r="G185" s="26"/>
      <c r="H185" s="26"/>
      <c r="I185" s="26"/>
      <c r="J185" s="26"/>
      <c r="K185" s="26"/>
    </row>
    <row r="186" spans="1:11">
      <c r="A186" s="7" t="s">
        <v>305</v>
      </c>
      <c r="B186" s="26">
        <v>21</v>
      </c>
      <c r="C186" s="27" t="s">
        <v>457</v>
      </c>
      <c r="D186" s="27" t="s">
        <v>458</v>
      </c>
      <c r="E186" s="27" t="s">
        <v>459</v>
      </c>
      <c r="F186" s="27" t="s">
        <v>460</v>
      </c>
      <c r="G186" s="27" t="s">
        <v>461</v>
      </c>
      <c r="H186" s="27" t="s">
        <v>462</v>
      </c>
      <c r="I186" s="27" t="s">
        <v>463</v>
      </c>
      <c r="J186" s="27" t="s">
        <v>464</v>
      </c>
      <c r="K186" s="26"/>
    </row>
    <row r="187" spans="1:11">
      <c r="B187" s="1" t="s">
        <v>309</v>
      </c>
      <c r="C187" s="28" t="s">
        <v>762</v>
      </c>
      <c r="D187" s="28" t="s">
        <v>747</v>
      </c>
      <c r="E187" s="28" t="s">
        <v>732</v>
      </c>
      <c r="F187" s="28" t="s">
        <v>717</v>
      </c>
      <c r="G187" s="28" t="s">
        <v>763</v>
      </c>
      <c r="H187" s="28" t="s">
        <v>748</v>
      </c>
      <c r="I187" s="28" t="s">
        <v>733</v>
      </c>
      <c r="J187" s="28" t="s">
        <v>718</v>
      </c>
      <c r="K187" s="26"/>
    </row>
    <row r="188" spans="1:11">
      <c r="C188" s="17" t="s">
        <v>474</v>
      </c>
      <c r="D188" s="17" t="s">
        <v>464</v>
      </c>
      <c r="E188" s="17" t="s">
        <v>475</v>
      </c>
      <c r="F188" s="17" t="s">
        <v>476</v>
      </c>
      <c r="G188" s="17" t="s">
        <v>477</v>
      </c>
      <c r="H188" s="17" t="s">
        <v>478</v>
      </c>
      <c r="I188" s="17" t="s">
        <v>479</v>
      </c>
      <c r="J188" s="17" t="s">
        <v>480</v>
      </c>
      <c r="K188" s="17" t="s">
        <v>481</v>
      </c>
    </row>
    <row r="189" spans="1:11">
      <c r="C189" s="17" t="s">
        <v>764</v>
      </c>
      <c r="D189" s="17" t="s">
        <v>718</v>
      </c>
      <c r="E189" s="17" t="s">
        <v>765</v>
      </c>
      <c r="F189" s="17" t="s">
        <v>766</v>
      </c>
      <c r="G189" s="17" t="s">
        <v>205</v>
      </c>
      <c r="H189" s="17" t="s">
        <v>767</v>
      </c>
      <c r="I189" s="17" t="s">
        <v>768</v>
      </c>
      <c r="J189" s="17" t="s">
        <v>769</v>
      </c>
      <c r="K189" s="17" t="s">
        <v>770</v>
      </c>
    </row>
    <row r="190" spans="1:11">
      <c r="C190" s="17" t="s">
        <v>485</v>
      </c>
      <c r="D190" s="17" t="s">
        <v>486</v>
      </c>
      <c r="E190" s="17" t="s">
        <v>487</v>
      </c>
      <c r="F190" s="17" t="s">
        <v>488</v>
      </c>
      <c r="G190" s="17" t="s">
        <v>489</v>
      </c>
      <c r="H190" s="17" t="s">
        <v>490</v>
      </c>
      <c r="I190" s="26"/>
      <c r="J190" s="26"/>
      <c r="K190" s="26"/>
    </row>
    <row r="191" spans="1:11">
      <c r="C191" s="33" t="s">
        <v>771</v>
      </c>
      <c r="D191" s="33" t="s">
        <v>772</v>
      </c>
      <c r="E191" s="33" t="s">
        <v>773</v>
      </c>
      <c r="F191" s="33" t="s">
        <v>774</v>
      </c>
      <c r="G191" s="33" t="s">
        <v>775</v>
      </c>
      <c r="H191" s="33" t="s">
        <v>776</v>
      </c>
      <c r="I191" s="26"/>
      <c r="J191" s="26"/>
      <c r="K191" s="26"/>
    </row>
    <row r="192" spans="1:11">
      <c r="C192" s="17" t="s">
        <v>491</v>
      </c>
      <c r="D192" s="17" t="s">
        <v>492</v>
      </c>
      <c r="E192" s="17" t="s">
        <v>493</v>
      </c>
      <c r="F192" s="17" t="s">
        <v>494</v>
      </c>
      <c r="G192" s="17" t="s">
        <v>495</v>
      </c>
      <c r="H192" s="17" t="s">
        <v>496</v>
      </c>
      <c r="I192" s="17" t="s">
        <v>497</v>
      </c>
      <c r="J192" s="17" t="s">
        <v>498</v>
      </c>
      <c r="K192" s="26"/>
    </row>
    <row r="193" spans="1:11">
      <c r="B193" s="1" t="s">
        <v>310</v>
      </c>
      <c r="C193" s="29" t="s">
        <v>777</v>
      </c>
      <c r="D193" s="29" t="s">
        <v>762</v>
      </c>
      <c r="E193" s="29" t="s">
        <v>747</v>
      </c>
      <c r="F193" s="29" t="s">
        <v>732</v>
      </c>
      <c r="G193" s="29" t="s">
        <v>778</v>
      </c>
      <c r="H193" s="29" t="s">
        <v>763</v>
      </c>
      <c r="I193" s="29" t="s">
        <v>748</v>
      </c>
      <c r="J193" s="29" t="s">
        <v>733</v>
      </c>
      <c r="K193" s="26"/>
    </row>
    <row r="194" spans="1:11">
      <c r="B194" s="1"/>
      <c r="C194" s="26"/>
      <c r="D194" s="26"/>
      <c r="E194" s="26"/>
      <c r="F194" s="26"/>
      <c r="G194" s="26"/>
      <c r="H194" s="26"/>
      <c r="I194" s="26"/>
      <c r="J194" s="26"/>
      <c r="K194" s="26"/>
    </row>
    <row r="195" spans="1:11">
      <c r="A195" s="7" t="s">
        <v>308</v>
      </c>
      <c r="B195" s="26">
        <v>22</v>
      </c>
      <c r="C195" s="27" t="s">
        <v>457</v>
      </c>
      <c r="D195" s="27" t="s">
        <v>458</v>
      </c>
      <c r="E195" s="27" t="s">
        <v>459</v>
      </c>
      <c r="F195" s="27" t="s">
        <v>460</v>
      </c>
      <c r="G195" s="27" t="s">
        <v>461</v>
      </c>
      <c r="H195" s="27" t="s">
        <v>462</v>
      </c>
      <c r="I195" s="27" t="s">
        <v>463</v>
      </c>
      <c r="J195" s="27" t="s">
        <v>464</v>
      </c>
      <c r="K195" s="26"/>
    </row>
    <row r="196" spans="1:11">
      <c r="B196" s="1" t="s">
        <v>312</v>
      </c>
      <c r="C196" s="28" t="s">
        <v>777</v>
      </c>
      <c r="D196" s="28" t="s">
        <v>762</v>
      </c>
      <c r="E196" s="28" t="s">
        <v>747</v>
      </c>
      <c r="F196" s="28" t="s">
        <v>732</v>
      </c>
      <c r="G196" s="28" t="s">
        <v>778</v>
      </c>
      <c r="H196" s="28" t="s">
        <v>763</v>
      </c>
      <c r="I196" s="28" t="s">
        <v>748</v>
      </c>
      <c r="J196" s="28" t="s">
        <v>733</v>
      </c>
      <c r="K196" s="26"/>
    </row>
    <row r="197" spans="1:11">
      <c r="C197" s="17" t="s">
        <v>474</v>
      </c>
      <c r="D197" s="17" t="s">
        <v>464</v>
      </c>
      <c r="E197" s="17" t="s">
        <v>475</v>
      </c>
      <c r="F197" s="17" t="s">
        <v>476</v>
      </c>
      <c r="G197" s="17" t="s">
        <v>477</v>
      </c>
      <c r="H197" s="17" t="s">
        <v>478</v>
      </c>
      <c r="I197" s="17" t="s">
        <v>479</v>
      </c>
      <c r="J197" s="17" t="s">
        <v>480</v>
      </c>
      <c r="K197" s="17" t="s">
        <v>481</v>
      </c>
    </row>
    <row r="198" spans="1:11">
      <c r="C198" s="17" t="s">
        <v>779</v>
      </c>
      <c r="D198" s="17" t="s">
        <v>733</v>
      </c>
      <c r="E198" s="17" t="s">
        <v>780</v>
      </c>
      <c r="F198" s="17" t="s">
        <v>781</v>
      </c>
      <c r="G198" s="17" t="s">
        <v>206</v>
      </c>
      <c r="H198" s="17" t="s">
        <v>782</v>
      </c>
      <c r="I198" s="17" t="s">
        <v>783</v>
      </c>
      <c r="J198" s="17" t="s">
        <v>784</v>
      </c>
      <c r="K198" s="17" t="s">
        <v>785</v>
      </c>
    </row>
    <row r="199" spans="1:11">
      <c r="C199" s="17" t="s">
        <v>485</v>
      </c>
      <c r="D199" s="17" t="s">
        <v>486</v>
      </c>
      <c r="E199" s="17" t="s">
        <v>487</v>
      </c>
      <c r="F199" s="17" t="s">
        <v>488</v>
      </c>
      <c r="G199" s="17" t="s">
        <v>489</v>
      </c>
      <c r="H199" s="17" t="s">
        <v>490</v>
      </c>
      <c r="I199" s="26"/>
      <c r="J199" s="26"/>
      <c r="K199" s="26"/>
    </row>
    <row r="200" spans="1:11">
      <c r="C200" s="33" t="s">
        <v>786</v>
      </c>
      <c r="D200" s="33" t="s">
        <v>787</v>
      </c>
      <c r="E200" s="33" t="s">
        <v>788</v>
      </c>
      <c r="F200" s="33" t="s">
        <v>789</v>
      </c>
      <c r="G200" s="33" t="s">
        <v>790</v>
      </c>
      <c r="H200" s="33" t="s">
        <v>791</v>
      </c>
      <c r="I200" s="26"/>
      <c r="J200" s="26"/>
      <c r="K200" s="26"/>
    </row>
    <row r="201" spans="1:11">
      <c r="C201" s="17" t="s">
        <v>491</v>
      </c>
      <c r="D201" s="17" t="s">
        <v>492</v>
      </c>
      <c r="E201" s="17" t="s">
        <v>493</v>
      </c>
      <c r="F201" s="17" t="s">
        <v>494</v>
      </c>
      <c r="G201" s="17" t="s">
        <v>495</v>
      </c>
      <c r="H201" s="17" t="s">
        <v>496</v>
      </c>
      <c r="I201" s="17" t="s">
        <v>497</v>
      </c>
      <c r="J201" s="17" t="s">
        <v>498</v>
      </c>
      <c r="K201" s="26"/>
    </row>
    <row r="202" spans="1:11">
      <c r="B202" s="1" t="s">
        <v>313</v>
      </c>
      <c r="C202" s="29" t="s">
        <v>792</v>
      </c>
      <c r="D202" s="29" t="s">
        <v>777</v>
      </c>
      <c r="E202" s="29" t="s">
        <v>762</v>
      </c>
      <c r="F202" s="29" t="s">
        <v>747</v>
      </c>
      <c r="G202" s="29" t="s">
        <v>793</v>
      </c>
      <c r="H202" s="29" t="s">
        <v>778</v>
      </c>
      <c r="I202" s="29" t="s">
        <v>763</v>
      </c>
      <c r="J202" s="29" t="s">
        <v>748</v>
      </c>
      <c r="K202" s="26"/>
    </row>
    <row r="203" spans="1:11">
      <c r="B203" s="1"/>
      <c r="C203" s="26"/>
      <c r="D203" s="26"/>
      <c r="E203" s="26"/>
      <c r="F203" s="26"/>
      <c r="G203" s="26"/>
      <c r="H203" s="26"/>
      <c r="I203" s="26"/>
      <c r="J203" s="26"/>
      <c r="K203" s="26"/>
    </row>
    <row r="204" spans="1:11">
      <c r="A204" s="7" t="s">
        <v>311</v>
      </c>
      <c r="B204" s="26">
        <v>23</v>
      </c>
      <c r="C204" s="27" t="s">
        <v>457</v>
      </c>
      <c r="D204" s="27" t="s">
        <v>458</v>
      </c>
      <c r="E204" s="27" t="s">
        <v>459</v>
      </c>
      <c r="F204" s="27" t="s">
        <v>460</v>
      </c>
      <c r="G204" s="27" t="s">
        <v>461</v>
      </c>
      <c r="H204" s="27" t="s">
        <v>462</v>
      </c>
      <c r="I204" s="27" t="s">
        <v>463</v>
      </c>
      <c r="J204" s="27" t="s">
        <v>464</v>
      </c>
      <c r="K204" s="26"/>
    </row>
    <row r="205" spans="1:11">
      <c r="B205" s="1" t="s">
        <v>315</v>
      </c>
      <c r="C205" s="28" t="s">
        <v>792</v>
      </c>
      <c r="D205" s="28" t="s">
        <v>777</v>
      </c>
      <c r="E205" s="28" t="s">
        <v>762</v>
      </c>
      <c r="F205" s="28" t="s">
        <v>747</v>
      </c>
      <c r="G205" s="28" t="s">
        <v>793</v>
      </c>
      <c r="H205" s="28" t="s">
        <v>778</v>
      </c>
      <c r="I205" s="28" t="s">
        <v>763</v>
      </c>
      <c r="J205" s="28" t="s">
        <v>748</v>
      </c>
      <c r="K205" s="26"/>
    </row>
    <row r="206" spans="1:11">
      <c r="C206" s="17" t="s">
        <v>474</v>
      </c>
      <c r="D206" s="17" t="s">
        <v>464</v>
      </c>
      <c r="E206" s="17" t="s">
        <v>475</v>
      </c>
      <c r="F206" s="17" t="s">
        <v>476</v>
      </c>
      <c r="G206" s="17" t="s">
        <v>477</v>
      </c>
      <c r="H206" s="17" t="s">
        <v>478</v>
      </c>
      <c r="I206" s="17" t="s">
        <v>479</v>
      </c>
      <c r="J206" s="17" t="s">
        <v>480</v>
      </c>
      <c r="K206" s="17" t="s">
        <v>481</v>
      </c>
    </row>
    <row r="207" spans="1:11">
      <c r="C207" s="17" t="s">
        <v>794</v>
      </c>
      <c r="D207" s="17" t="s">
        <v>748</v>
      </c>
      <c r="E207" s="17" t="s">
        <v>795</v>
      </c>
      <c r="F207" s="17" t="s">
        <v>796</v>
      </c>
      <c r="G207" s="17" t="s">
        <v>207</v>
      </c>
      <c r="H207" s="17" t="s">
        <v>797</v>
      </c>
      <c r="I207" s="17" t="s">
        <v>798</v>
      </c>
      <c r="J207" s="17" t="s">
        <v>799</v>
      </c>
      <c r="K207" s="17" t="s">
        <v>800</v>
      </c>
    </row>
    <row r="208" spans="1:11">
      <c r="C208" s="17" t="s">
        <v>485</v>
      </c>
      <c r="D208" s="17" t="s">
        <v>486</v>
      </c>
      <c r="E208" s="17" t="s">
        <v>487</v>
      </c>
      <c r="F208" s="17" t="s">
        <v>488</v>
      </c>
      <c r="G208" s="17" t="s">
        <v>489</v>
      </c>
      <c r="H208" s="17" t="s">
        <v>490</v>
      </c>
      <c r="I208" s="26"/>
      <c r="J208" s="26"/>
      <c r="K208" s="26"/>
    </row>
    <row r="209" spans="1:11">
      <c r="C209" s="33" t="s">
        <v>801</v>
      </c>
      <c r="D209" s="33" t="s">
        <v>802</v>
      </c>
      <c r="E209" s="33" t="s">
        <v>803</v>
      </c>
      <c r="F209" s="33" t="s">
        <v>804</v>
      </c>
      <c r="G209" s="33" t="s">
        <v>805</v>
      </c>
      <c r="H209" s="33" t="s">
        <v>806</v>
      </c>
      <c r="I209" s="26"/>
      <c r="J209" s="26"/>
      <c r="K209" s="26"/>
    </row>
    <row r="210" spans="1:11">
      <c r="C210" s="17" t="s">
        <v>491</v>
      </c>
      <c r="D210" s="17" t="s">
        <v>492</v>
      </c>
      <c r="E210" s="17" t="s">
        <v>493</v>
      </c>
      <c r="F210" s="17" t="s">
        <v>494</v>
      </c>
      <c r="G210" s="17" t="s">
        <v>495</v>
      </c>
      <c r="H210" s="17" t="s">
        <v>496</v>
      </c>
      <c r="I210" s="17" t="s">
        <v>497</v>
      </c>
      <c r="J210" s="17" t="s">
        <v>498</v>
      </c>
      <c r="K210" s="26"/>
    </row>
    <row r="211" spans="1:11">
      <c r="B211" s="1" t="s">
        <v>316</v>
      </c>
      <c r="C211" s="29" t="s">
        <v>807</v>
      </c>
      <c r="D211" s="29" t="s">
        <v>792</v>
      </c>
      <c r="E211" s="29" t="s">
        <v>777</v>
      </c>
      <c r="F211" s="29" t="s">
        <v>762</v>
      </c>
      <c r="G211" s="29" t="s">
        <v>808</v>
      </c>
      <c r="H211" s="29" t="s">
        <v>793</v>
      </c>
      <c r="I211" s="29" t="s">
        <v>778</v>
      </c>
      <c r="J211" s="29" t="s">
        <v>763</v>
      </c>
      <c r="K211" s="26"/>
    </row>
    <row r="212" spans="1:11">
      <c r="B212" s="1"/>
      <c r="C212" s="26"/>
      <c r="D212" s="26"/>
      <c r="E212" s="26"/>
      <c r="F212" s="26"/>
      <c r="G212" s="26"/>
      <c r="H212" s="26"/>
      <c r="I212" s="26"/>
      <c r="J212" s="26"/>
      <c r="K212" s="26"/>
    </row>
    <row r="213" spans="1:11">
      <c r="A213" s="7" t="s">
        <v>314</v>
      </c>
      <c r="B213" s="26">
        <v>24</v>
      </c>
      <c r="C213" s="27" t="s">
        <v>457</v>
      </c>
      <c r="D213" s="27" t="s">
        <v>458</v>
      </c>
      <c r="E213" s="27" t="s">
        <v>459</v>
      </c>
      <c r="F213" s="27" t="s">
        <v>460</v>
      </c>
      <c r="G213" s="27" t="s">
        <v>461</v>
      </c>
      <c r="H213" s="27" t="s">
        <v>462</v>
      </c>
      <c r="I213" s="27" t="s">
        <v>463</v>
      </c>
      <c r="J213" s="27" t="s">
        <v>464</v>
      </c>
      <c r="K213" s="26"/>
    </row>
    <row r="214" spans="1:11">
      <c r="B214" s="1" t="s">
        <v>318</v>
      </c>
      <c r="C214" s="28" t="s">
        <v>807</v>
      </c>
      <c r="D214" s="28" t="s">
        <v>792</v>
      </c>
      <c r="E214" s="28" t="s">
        <v>777</v>
      </c>
      <c r="F214" s="28" t="s">
        <v>762</v>
      </c>
      <c r="G214" s="28" t="s">
        <v>808</v>
      </c>
      <c r="H214" s="28" t="s">
        <v>793</v>
      </c>
      <c r="I214" s="28" t="s">
        <v>778</v>
      </c>
      <c r="J214" s="28" t="s">
        <v>763</v>
      </c>
      <c r="K214" s="26"/>
    </row>
    <row r="215" spans="1:11">
      <c r="C215" s="17" t="s">
        <v>474</v>
      </c>
      <c r="D215" s="17" t="s">
        <v>464</v>
      </c>
      <c r="E215" s="17" t="s">
        <v>475</v>
      </c>
      <c r="F215" s="17" t="s">
        <v>476</v>
      </c>
      <c r="G215" s="17" t="s">
        <v>477</v>
      </c>
      <c r="H215" s="17" t="s">
        <v>478</v>
      </c>
      <c r="I215" s="17" t="s">
        <v>479</v>
      </c>
      <c r="J215" s="17" t="s">
        <v>480</v>
      </c>
      <c r="K215" s="17" t="s">
        <v>481</v>
      </c>
    </row>
    <row r="216" spans="1:11">
      <c r="C216" s="17" t="s">
        <v>809</v>
      </c>
      <c r="D216" s="17" t="s">
        <v>763</v>
      </c>
      <c r="E216" s="17" t="s">
        <v>810</v>
      </c>
      <c r="F216" s="17" t="s">
        <v>811</v>
      </c>
      <c r="G216" s="17" t="s">
        <v>208</v>
      </c>
      <c r="H216" s="17" t="s">
        <v>812</v>
      </c>
      <c r="I216" s="17" t="s">
        <v>813</v>
      </c>
      <c r="J216" s="17" t="s">
        <v>814</v>
      </c>
      <c r="K216" s="17" t="s">
        <v>815</v>
      </c>
    </row>
    <row r="217" spans="1:11">
      <c r="C217" s="17" t="s">
        <v>485</v>
      </c>
      <c r="D217" s="17" t="s">
        <v>486</v>
      </c>
      <c r="E217" s="17" t="s">
        <v>487</v>
      </c>
      <c r="F217" s="17" t="s">
        <v>488</v>
      </c>
      <c r="G217" s="17" t="s">
        <v>489</v>
      </c>
      <c r="H217" s="17" t="s">
        <v>490</v>
      </c>
      <c r="I217" s="26"/>
      <c r="J217" s="26"/>
      <c r="K217" s="26"/>
    </row>
    <row r="218" spans="1:11">
      <c r="C218" s="33" t="s">
        <v>816</v>
      </c>
      <c r="D218" s="33" t="s">
        <v>817</v>
      </c>
      <c r="E218" s="33" t="s">
        <v>818</v>
      </c>
      <c r="F218" s="33" t="s">
        <v>819</v>
      </c>
      <c r="G218" s="33" t="s">
        <v>820</v>
      </c>
      <c r="H218" s="33" t="s">
        <v>821</v>
      </c>
      <c r="I218" s="26"/>
      <c r="J218" s="26"/>
      <c r="K218" s="26"/>
    </row>
    <row r="219" spans="1:11">
      <c r="C219" s="17" t="s">
        <v>491</v>
      </c>
      <c r="D219" s="17" t="s">
        <v>492</v>
      </c>
      <c r="E219" s="17" t="s">
        <v>493</v>
      </c>
      <c r="F219" s="17" t="s">
        <v>494</v>
      </c>
      <c r="G219" s="17" t="s">
        <v>495</v>
      </c>
      <c r="H219" s="17" t="s">
        <v>496</v>
      </c>
      <c r="I219" s="17" t="s">
        <v>497</v>
      </c>
      <c r="J219" s="17" t="s">
        <v>498</v>
      </c>
      <c r="K219" s="26"/>
    </row>
    <row r="220" spans="1:11">
      <c r="B220" s="1" t="s">
        <v>319</v>
      </c>
      <c r="C220" s="29" t="s">
        <v>822</v>
      </c>
      <c r="D220" s="29" t="s">
        <v>807</v>
      </c>
      <c r="E220" s="29" t="s">
        <v>792</v>
      </c>
      <c r="F220" s="29" t="s">
        <v>777</v>
      </c>
      <c r="G220" s="29" t="s">
        <v>823</v>
      </c>
      <c r="H220" s="29" t="s">
        <v>808</v>
      </c>
      <c r="I220" s="29" t="s">
        <v>793</v>
      </c>
      <c r="J220" s="29" t="s">
        <v>778</v>
      </c>
      <c r="K220" s="26"/>
    </row>
    <row r="221" spans="1:11">
      <c r="B221" s="1"/>
      <c r="C221" s="26"/>
      <c r="D221" s="26"/>
      <c r="E221" s="26"/>
      <c r="F221" s="26"/>
      <c r="G221" s="26"/>
      <c r="H221" s="26"/>
      <c r="I221" s="26"/>
      <c r="J221" s="26"/>
      <c r="K221" s="26"/>
    </row>
    <row r="222" spans="1:11">
      <c r="A222" s="7" t="s">
        <v>317</v>
      </c>
      <c r="B222" s="26">
        <v>25</v>
      </c>
      <c r="C222" s="27" t="s">
        <v>457</v>
      </c>
      <c r="D222" s="27" t="s">
        <v>458</v>
      </c>
      <c r="E222" s="27" t="s">
        <v>459</v>
      </c>
      <c r="F222" s="27" t="s">
        <v>460</v>
      </c>
      <c r="G222" s="27" t="s">
        <v>461</v>
      </c>
      <c r="H222" s="27" t="s">
        <v>462</v>
      </c>
      <c r="I222" s="27" t="s">
        <v>463</v>
      </c>
      <c r="J222" s="27" t="s">
        <v>464</v>
      </c>
      <c r="K222" s="26"/>
    </row>
    <row r="223" spans="1:11">
      <c r="B223" s="1" t="s">
        <v>321</v>
      </c>
      <c r="C223" s="28" t="s">
        <v>822</v>
      </c>
      <c r="D223" s="28" t="s">
        <v>807</v>
      </c>
      <c r="E223" s="28" t="s">
        <v>792</v>
      </c>
      <c r="F223" s="28" t="s">
        <v>777</v>
      </c>
      <c r="G223" s="28" t="s">
        <v>823</v>
      </c>
      <c r="H223" s="28" t="s">
        <v>808</v>
      </c>
      <c r="I223" s="28" t="s">
        <v>793</v>
      </c>
      <c r="J223" s="28" t="s">
        <v>778</v>
      </c>
      <c r="K223" s="26"/>
    </row>
    <row r="224" spans="1:11">
      <c r="C224" s="17" t="s">
        <v>474</v>
      </c>
      <c r="D224" s="17" t="s">
        <v>464</v>
      </c>
      <c r="E224" s="17" t="s">
        <v>475</v>
      </c>
      <c r="F224" s="17" t="s">
        <v>476</v>
      </c>
      <c r="G224" s="17" t="s">
        <v>477</v>
      </c>
      <c r="H224" s="17" t="s">
        <v>478</v>
      </c>
      <c r="I224" s="17" t="s">
        <v>479</v>
      </c>
      <c r="J224" s="17" t="s">
        <v>480</v>
      </c>
      <c r="K224" s="17" t="s">
        <v>481</v>
      </c>
    </row>
    <row r="225" spans="1:11">
      <c r="C225" s="17" t="s">
        <v>824</v>
      </c>
      <c r="D225" s="17" t="s">
        <v>778</v>
      </c>
      <c r="E225" s="17" t="s">
        <v>825</v>
      </c>
      <c r="F225" s="17" t="s">
        <v>826</v>
      </c>
      <c r="G225" s="17" t="s">
        <v>209</v>
      </c>
      <c r="H225" s="17" t="s">
        <v>827</v>
      </c>
      <c r="I225" s="17" t="s">
        <v>828</v>
      </c>
      <c r="J225" s="17" t="s">
        <v>829</v>
      </c>
      <c r="K225" s="17" t="s">
        <v>830</v>
      </c>
    </row>
    <row r="226" spans="1:11">
      <c r="C226" s="17" t="s">
        <v>485</v>
      </c>
      <c r="D226" s="17" t="s">
        <v>486</v>
      </c>
      <c r="E226" s="17" t="s">
        <v>487</v>
      </c>
      <c r="F226" s="17" t="s">
        <v>488</v>
      </c>
      <c r="G226" s="17" t="s">
        <v>489</v>
      </c>
      <c r="H226" s="17" t="s">
        <v>490</v>
      </c>
      <c r="I226" s="26"/>
      <c r="J226" s="26"/>
      <c r="K226" s="26"/>
    </row>
    <row r="227" spans="1:11">
      <c r="C227" s="33" t="s">
        <v>831</v>
      </c>
      <c r="D227" s="33" t="s">
        <v>832</v>
      </c>
      <c r="E227" s="33" t="s">
        <v>833</v>
      </c>
      <c r="F227" s="33" t="s">
        <v>834</v>
      </c>
      <c r="G227" s="33" t="s">
        <v>835</v>
      </c>
      <c r="H227" s="33" t="s">
        <v>836</v>
      </c>
      <c r="I227" s="26"/>
      <c r="J227" s="26"/>
      <c r="K227" s="26"/>
    </row>
    <row r="228" spans="1:11">
      <c r="C228" s="17" t="s">
        <v>491</v>
      </c>
      <c r="D228" s="17" t="s">
        <v>492</v>
      </c>
      <c r="E228" s="17" t="s">
        <v>493</v>
      </c>
      <c r="F228" s="17" t="s">
        <v>494</v>
      </c>
      <c r="G228" s="17" t="s">
        <v>495</v>
      </c>
      <c r="H228" s="17" t="s">
        <v>496</v>
      </c>
      <c r="I228" s="17" t="s">
        <v>497</v>
      </c>
      <c r="J228" s="17" t="s">
        <v>498</v>
      </c>
      <c r="K228" s="26"/>
    </row>
    <row r="229" spans="1:11">
      <c r="B229" s="1" t="s">
        <v>322</v>
      </c>
      <c r="C229" s="29" t="s">
        <v>837</v>
      </c>
      <c r="D229" s="29" t="s">
        <v>822</v>
      </c>
      <c r="E229" s="29" t="s">
        <v>807</v>
      </c>
      <c r="F229" s="29" t="s">
        <v>792</v>
      </c>
      <c r="G229" s="29" t="s">
        <v>838</v>
      </c>
      <c r="H229" s="29" t="s">
        <v>823</v>
      </c>
      <c r="I229" s="29" t="s">
        <v>808</v>
      </c>
      <c r="J229" s="29" t="s">
        <v>793</v>
      </c>
      <c r="K229" s="26"/>
    </row>
    <row r="230" spans="1:11">
      <c r="B230" s="1"/>
      <c r="C230" s="26"/>
      <c r="D230" s="26"/>
      <c r="E230" s="26"/>
      <c r="F230" s="26"/>
      <c r="G230" s="26"/>
      <c r="H230" s="26"/>
      <c r="I230" s="26"/>
      <c r="J230" s="26"/>
      <c r="K230" s="26"/>
    </row>
    <row r="231" spans="1:11">
      <c r="A231" s="7" t="s">
        <v>320</v>
      </c>
      <c r="B231" s="26">
        <v>26</v>
      </c>
      <c r="C231" s="27" t="s">
        <v>457</v>
      </c>
      <c r="D231" s="27" t="s">
        <v>458</v>
      </c>
      <c r="E231" s="27" t="s">
        <v>459</v>
      </c>
      <c r="F231" s="27" t="s">
        <v>460</v>
      </c>
      <c r="G231" s="27" t="s">
        <v>461</v>
      </c>
      <c r="H231" s="27" t="s">
        <v>462</v>
      </c>
      <c r="I231" s="27" t="s">
        <v>463</v>
      </c>
      <c r="J231" s="27" t="s">
        <v>464</v>
      </c>
      <c r="K231" s="26"/>
    </row>
    <row r="232" spans="1:11">
      <c r="B232" s="1" t="s">
        <v>324</v>
      </c>
      <c r="C232" s="28" t="s">
        <v>837</v>
      </c>
      <c r="D232" s="28" t="s">
        <v>822</v>
      </c>
      <c r="E232" s="28" t="s">
        <v>807</v>
      </c>
      <c r="F232" s="28" t="s">
        <v>792</v>
      </c>
      <c r="G232" s="28" t="s">
        <v>838</v>
      </c>
      <c r="H232" s="28" t="s">
        <v>823</v>
      </c>
      <c r="I232" s="28" t="s">
        <v>808</v>
      </c>
      <c r="J232" s="28" t="s">
        <v>793</v>
      </c>
      <c r="K232" s="26"/>
    </row>
    <row r="233" spans="1:11">
      <c r="C233" s="17" t="s">
        <v>474</v>
      </c>
      <c r="D233" s="17" t="s">
        <v>464</v>
      </c>
      <c r="E233" s="17" t="s">
        <v>475</v>
      </c>
      <c r="F233" s="17" t="s">
        <v>476</v>
      </c>
      <c r="G233" s="17" t="s">
        <v>477</v>
      </c>
      <c r="H233" s="17" t="s">
        <v>478</v>
      </c>
      <c r="I233" s="17" t="s">
        <v>479</v>
      </c>
      <c r="J233" s="17" t="s">
        <v>480</v>
      </c>
      <c r="K233" s="17" t="s">
        <v>481</v>
      </c>
    </row>
    <row r="234" spans="1:11">
      <c r="C234" s="17" t="s">
        <v>839</v>
      </c>
      <c r="D234" s="17" t="s">
        <v>793</v>
      </c>
      <c r="E234" s="17" t="s">
        <v>840</v>
      </c>
      <c r="F234" s="17" t="s">
        <v>841</v>
      </c>
      <c r="G234" s="17" t="s">
        <v>210</v>
      </c>
      <c r="H234" s="17" t="s">
        <v>842</v>
      </c>
      <c r="I234" s="17" t="s">
        <v>843</v>
      </c>
      <c r="J234" s="17" t="s">
        <v>844</v>
      </c>
      <c r="K234" s="17" t="s">
        <v>845</v>
      </c>
    </row>
    <row r="235" spans="1:11">
      <c r="C235" s="17" t="s">
        <v>485</v>
      </c>
      <c r="D235" s="17" t="s">
        <v>486</v>
      </c>
      <c r="E235" s="17" t="s">
        <v>487</v>
      </c>
      <c r="F235" s="17" t="s">
        <v>488</v>
      </c>
      <c r="G235" s="17" t="s">
        <v>489</v>
      </c>
      <c r="H235" s="17" t="s">
        <v>490</v>
      </c>
      <c r="I235" s="26"/>
      <c r="J235" s="26"/>
      <c r="K235" s="26"/>
    </row>
    <row r="236" spans="1:11">
      <c r="C236" s="33" t="s">
        <v>846</v>
      </c>
      <c r="D236" s="33" t="s">
        <v>847</v>
      </c>
      <c r="E236" s="33" t="s">
        <v>848</v>
      </c>
      <c r="F236" s="33" t="s">
        <v>849</v>
      </c>
      <c r="G236" s="33" t="s">
        <v>850</v>
      </c>
      <c r="H236" s="33" t="s">
        <v>851</v>
      </c>
      <c r="I236" s="26"/>
      <c r="J236" s="26"/>
      <c r="K236" s="26"/>
    </row>
    <row r="237" spans="1:11">
      <c r="C237" s="17" t="s">
        <v>491</v>
      </c>
      <c r="D237" s="17" t="s">
        <v>492</v>
      </c>
      <c r="E237" s="17" t="s">
        <v>493</v>
      </c>
      <c r="F237" s="17" t="s">
        <v>494</v>
      </c>
      <c r="G237" s="17" t="s">
        <v>495</v>
      </c>
      <c r="H237" s="17" t="s">
        <v>496</v>
      </c>
      <c r="I237" s="17" t="s">
        <v>497</v>
      </c>
      <c r="J237" s="17" t="s">
        <v>498</v>
      </c>
      <c r="K237" s="26"/>
    </row>
    <row r="238" spans="1:11">
      <c r="B238" s="1" t="s">
        <v>325</v>
      </c>
      <c r="C238" s="29" t="s">
        <v>852</v>
      </c>
      <c r="D238" s="29" t="s">
        <v>837</v>
      </c>
      <c r="E238" s="29" t="s">
        <v>822</v>
      </c>
      <c r="F238" s="29" t="s">
        <v>807</v>
      </c>
      <c r="G238" s="29" t="s">
        <v>853</v>
      </c>
      <c r="H238" s="29" t="s">
        <v>838</v>
      </c>
      <c r="I238" s="29" t="s">
        <v>823</v>
      </c>
      <c r="J238" s="29" t="s">
        <v>808</v>
      </c>
      <c r="K238" s="26"/>
    </row>
    <row r="239" spans="1:11">
      <c r="B239" s="1"/>
      <c r="C239" s="26"/>
      <c r="D239" s="26"/>
      <c r="E239" s="26"/>
      <c r="F239" s="26"/>
      <c r="G239" s="26"/>
      <c r="H239" s="26"/>
      <c r="I239" s="26"/>
      <c r="J239" s="26"/>
      <c r="K239" s="26"/>
    </row>
    <row r="240" spans="1:11">
      <c r="A240" s="7" t="s">
        <v>323</v>
      </c>
      <c r="B240" s="26">
        <v>27</v>
      </c>
      <c r="C240" s="27" t="s">
        <v>457</v>
      </c>
      <c r="D240" s="27" t="s">
        <v>458</v>
      </c>
      <c r="E240" s="27" t="s">
        <v>459</v>
      </c>
      <c r="F240" s="27" t="s">
        <v>460</v>
      </c>
      <c r="G240" s="27" t="s">
        <v>461</v>
      </c>
      <c r="H240" s="27" t="s">
        <v>462</v>
      </c>
      <c r="I240" s="27" t="s">
        <v>463</v>
      </c>
      <c r="J240" s="27" t="s">
        <v>464</v>
      </c>
      <c r="K240" s="26"/>
    </row>
    <row r="241" spans="1:11">
      <c r="B241" s="1" t="s">
        <v>327</v>
      </c>
      <c r="C241" s="28" t="s">
        <v>852</v>
      </c>
      <c r="D241" s="28" t="s">
        <v>837</v>
      </c>
      <c r="E241" s="28" t="s">
        <v>822</v>
      </c>
      <c r="F241" s="28" t="s">
        <v>807</v>
      </c>
      <c r="G241" s="28" t="s">
        <v>853</v>
      </c>
      <c r="H241" s="28" t="s">
        <v>838</v>
      </c>
      <c r="I241" s="28" t="s">
        <v>823</v>
      </c>
      <c r="J241" s="28" t="s">
        <v>808</v>
      </c>
      <c r="K241" s="26"/>
    </row>
    <row r="242" spans="1:11">
      <c r="C242" s="17" t="s">
        <v>474</v>
      </c>
      <c r="D242" s="17" t="s">
        <v>464</v>
      </c>
      <c r="E242" s="17" t="s">
        <v>475</v>
      </c>
      <c r="F242" s="17" t="s">
        <v>476</v>
      </c>
      <c r="G242" s="17" t="s">
        <v>477</v>
      </c>
      <c r="H242" s="17" t="s">
        <v>478</v>
      </c>
      <c r="I242" s="17" t="s">
        <v>479</v>
      </c>
      <c r="J242" s="17" t="s">
        <v>480</v>
      </c>
      <c r="K242" s="17" t="s">
        <v>481</v>
      </c>
    </row>
    <row r="243" spans="1:11">
      <c r="C243" s="17" t="s">
        <v>854</v>
      </c>
      <c r="D243" s="17" t="s">
        <v>808</v>
      </c>
      <c r="E243" s="17" t="s">
        <v>855</v>
      </c>
      <c r="F243" s="17" t="s">
        <v>856</v>
      </c>
      <c r="G243" s="17" t="s">
        <v>211</v>
      </c>
      <c r="H243" s="17" t="s">
        <v>857</v>
      </c>
      <c r="I243" s="17" t="s">
        <v>858</v>
      </c>
      <c r="J243" s="17" t="s">
        <v>859</v>
      </c>
      <c r="K243" s="17" t="s">
        <v>860</v>
      </c>
    </row>
    <row r="244" spans="1:11">
      <c r="C244" s="17" t="s">
        <v>485</v>
      </c>
      <c r="D244" s="17" t="s">
        <v>486</v>
      </c>
      <c r="E244" s="17" t="s">
        <v>487</v>
      </c>
      <c r="F244" s="17" t="s">
        <v>488</v>
      </c>
      <c r="G244" s="17" t="s">
        <v>489</v>
      </c>
      <c r="H244" s="17" t="s">
        <v>490</v>
      </c>
      <c r="I244" s="26"/>
      <c r="J244" s="26"/>
      <c r="K244" s="26"/>
    </row>
    <row r="245" spans="1:11">
      <c r="C245" s="33" t="s">
        <v>861</v>
      </c>
      <c r="D245" s="33" t="s">
        <v>862</v>
      </c>
      <c r="E245" s="33" t="s">
        <v>863</v>
      </c>
      <c r="F245" s="33" t="s">
        <v>864</v>
      </c>
      <c r="G245" s="33" t="s">
        <v>865</v>
      </c>
      <c r="H245" s="33" t="s">
        <v>866</v>
      </c>
      <c r="I245" s="26"/>
      <c r="J245" s="26"/>
      <c r="K245" s="26"/>
    </row>
    <row r="246" spans="1:11">
      <c r="C246" s="17" t="s">
        <v>491</v>
      </c>
      <c r="D246" s="17" t="s">
        <v>492</v>
      </c>
      <c r="E246" s="17" t="s">
        <v>493</v>
      </c>
      <c r="F246" s="17" t="s">
        <v>494</v>
      </c>
      <c r="G246" s="17" t="s">
        <v>495</v>
      </c>
      <c r="H246" s="17" t="s">
        <v>496</v>
      </c>
      <c r="I246" s="17" t="s">
        <v>497</v>
      </c>
      <c r="J246" s="17" t="s">
        <v>498</v>
      </c>
      <c r="K246" s="26"/>
    </row>
    <row r="247" spans="1:11">
      <c r="B247" s="1" t="s">
        <v>328</v>
      </c>
      <c r="C247" s="29" t="s">
        <v>867</v>
      </c>
      <c r="D247" s="29" t="s">
        <v>852</v>
      </c>
      <c r="E247" s="29" t="s">
        <v>837</v>
      </c>
      <c r="F247" s="29" t="s">
        <v>822</v>
      </c>
      <c r="G247" s="29" t="s">
        <v>868</v>
      </c>
      <c r="H247" s="29" t="s">
        <v>853</v>
      </c>
      <c r="I247" s="29" t="s">
        <v>838</v>
      </c>
      <c r="J247" s="29" t="s">
        <v>823</v>
      </c>
      <c r="K247" s="26"/>
    </row>
    <row r="248" spans="1:11">
      <c r="B248" s="1"/>
      <c r="C248" s="26"/>
      <c r="D248" s="26"/>
      <c r="E248" s="26"/>
      <c r="F248" s="26"/>
      <c r="G248" s="26"/>
      <c r="H248" s="26"/>
      <c r="I248" s="26"/>
      <c r="J248" s="26"/>
      <c r="K248" s="26"/>
    </row>
    <row r="249" spans="1:11">
      <c r="A249" s="7" t="s">
        <v>326</v>
      </c>
      <c r="B249" s="26">
        <v>28</v>
      </c>
      <c r="C249" s="27" t="s">
        <v>457</v>
      </c>
      <c r="D249" s="27" t="s">
        <v>458</v>
      </c>
      <c r="E249" s="27" t="s">
        <v>459</v>
      </c>
      <c r="F249" s="27" t="s">
        <v>460</v>
      </c>
      <c r="G249" s="27" t="s">
        <v>461</v>
      </c>
      <c r="H249" s="27" t="s">
        <v>462</v>
      </c>
      <c r="I249" s="27" t="s">
        <v>463</v>
      </c>
      <c r="J249" s="27" t="s">
        <v>464</v>
      </c>
      <c r="K249" s="26"/>
    </row>
    <row r="250" spans="1:11">
      <c r="B250" s="1" t="s">
        <v>330</v>
      </c>
      <c r="C250" s="28" t="s">
        <v>867</v>
      </c>
      <c r="D250" s="28" t="s">
        <v>852</v>
      </c>
      <c r="E250" s="28" t="s">
        <v>837</v>
      </c>
      <c r="F250" s="28" t="s">
        <v>822</v>
      </c>
      <c r="G250" s="28" t="s">
        <v>868</v>
      </c>
      <c r="H250" s="28" t="s">
        <v>853</v>
      </c>
      <c r="I250" s="28" t="s">
        <v>838</v>
      </c>
      <c r="J250" s="28" t="s">
        <v>823</v>
      </c>
      <c r="K250" s="26"/>
    </row>
    <row r="251" spans="1:11">
      <c r="C251" s="17" t="s">
        <v>474</v>
      </c>
      <c r="D251" s="17" t="s">
        <v>464</v>
      </c>
      <c r="E251" s="17" t="s">
        <v>475</v>
      </c>
      <c r="F251" s="17" t="s">
        <v>476</v>
      </c>
      <c r="G251" s="17" t="s">
        <v>477</v>
      </c>
      <c r="H251" s="17" t="s">
        <v>478</v>
      </c>
      <c r="I251" s="17" t="s">
        <v>479</v>
      </c>
      <c r="J251" s="17" t="s">
        <v>480</v>
      </c>
      <c r="K251" s="17" t="s">
        <v>481</v>
      </c>
    </row>
    <row r="252" spans="1:11">
      <c r="C252" s="17" t="s">
        <v>869</v>
      </c>
      <c r="D252" s="17" t="s">
        <v>823</v>
      </c>
      <c r="E252" s="17" t="s">
        <v>870</v>
      </c>
      <c r="F252" s="17" t="s">
        <v>871</v>
      </c>
      <c r="G252" s="17" t="s">
        <v>212</v>
      </c>
      <c r="H252" s="17" t="s">
        <v>872</v>
      </c>
      <c r="I252" s="17" t="s">
        <v>873</v>
      </c>
      <c r="J252" s="17" t="s">
        <v>874</v>
      </c>
      <c r="K252" s="17" t="s">
        <v>875</v>
      </c>
    </row>
    <row r="253" spans="1:11">
      <c r="C253" s="17" t="s">
        <v>485</v>
      </c>
      <c r="D253" s="17" t="s">
        <v>486</v>
      </c>
      <c r="E253" s="17" t="s">
        <v>487</v>
      </c>
      <c r="F253" s="17" t="s">
        <v>488</v>
      </c>
      <c r="G253" s="17" t="s">
        <v>489</v>
      </c>
      <c r="H253" s="17" t="s">
        <v>490</v>
      </c>
      <c r="I253" s="26"/>
      <c r="J253" s="26"/>
      <c r="K253" s="26"/>
    </row>
    <row r="254" spans="1:11">
      <c r="C254" s="33" t="s">
        <v>876</v>
      </c>
      <c r="D254" s="33" t="s">
        <v>877</v>
      </c>
      <c r="E254" s="33" t="s">
        <v>878</v>
      </c>
      <c r="F254" s="33" t="s">
        <v>879</v>
      </c>
      <c r="G254" s="33" t="s">
        <v>880</v>
      </c>
      <c r="H254" s="33" t="s">
        <v>881</v>
      </c>
      <c r="I254" s="26"/>
      <c r="J254" s="26"/>
      <c r="K254" s="26"/>
    </row>
    <row r="255" spans="1:11">
      <c r="C255" s="17" t="s">
        <v>491</v>
      </c>
      <c r="D255" s="17" t="s">
        <v>492</v>
      </c>
      <c r="E255" s="17" t="s">
        <v>493</v>
      </c>
      <c r="F255" s="17" t="s">
        <v>494</v>
      </c>
      <c r="G255" s="17" t="s">
        <v>495</v>
      </c>
      <c r="H255" s="17" t="s">
        <v>496</v>
      </c>
      <c r="I255" s="17" t="s">
        <v>497</v>
      </c>
      <c r="J255" s="17" t="s">
        <v>498</v>
      </c>
      <c r="K255" s="26"/>
    </row>
    <row r="256" spans="1:11">
      <c r="B256" s="1" t="s">
        <v>331</v>
      </c>
      <c r="C256" s="29" t="s">
        <v>882</v>
      </c>
      <c r="D256" s="29" t="s">
        <v>867</v>
      </c>
      <c r="E256" s="29" t="s">
        <v>852</v>
      </c>
      <c r="F256" s="29" t="s">
        <v>837</v>
      </c>
      <c r="G256" s="29" t="s">
        <v>883</v>
      </c>
      <c r="H256" s="29" t="s">
        <v>868</v>
      </c>
      <c r="I256" s="29" t="s">
        <v>853</v>
      </c>
      <c r="J256" s="29" t="s">
        <v>838</v>
      </c>
      <c r="K256" s="26"/>
    </row>
    <row r="257" spans="1:11">
      <c r="B257" s="1"/>
      <c r="C257" s="26"/>
      <c r="D257" s="26"/>
      <c r="E257" s="26"/>
      <c r="F257" s="26"/>
      <c r="G257" s="26"/>
      <c r="H257" s="26"/>
      <c r="I257" s="26"/>
      <c r="J257" s="26"/>
      <c r="K257" s="26"/>
    </row>
    <row r="258" spans="1:11">
      <c r="A258" s="7" t="s">
        <v>329</v>
      </c>
      <c r="B258" s="26">
        <v>29</v>
      </c>
      <c r="C258" s="27" t="s">
        <v>457</v>
      </c>
      <c r="D258" s="27" t="s">
        <v>458</v>
      </c>
      <c r="E258" s="27" t="s">
        <v>459</v>
      </c>
      <c r="F258" s="27" t="s">
        <v>460</v>
      </c>
      <c r="G258" s="27" t="s">
        <v>461</v>
      </c>
      <c r="H258" s="27" t="s">
        <v>462</v>
      </c>
      <c r="I258" s="27" t="s">
        <v>463</v>
      </c>
      <c r="J258" s="27" t="s">
        <v>464</v>
      </c>
      <c r="K258" s="26"/>
    </row>
    <row r="259" spans="1:11">
      <c r="B259" s="1" t="s">
        <v>333</v>
      </c>
      <c r="C259" s="28" t="s">
        <v>882</v>
      </c>
      <c r="D259" s="28" t="s">
        <v>867</v>
      </c>
      <c r="E259" s="28" t="s">
        <v>852</v>
      </c>
      <c r="F259" s="28" t="s">
        <v>837</v>
      </c>
      <c r="G259" s="28" t="s">
        <v>883</v>
      </c>
      <c r="H259" s="28" t="s">
        <v>868</v>
      </c>
      <c r="I259" s="28" t="s">
        <v>853</v>
      </c>
      <c r="J259" s="28" t="s">
        <v>838</v>
      </c>
      <c r="K259" s="26"/>
    </row>
    <row r="260" spans="1:11">
      <c r="C260" s="17" t="s">
        <v>474</v>
      </c>
      <c r="D260" s="17" t="s">
        <v>464</v>
      </c>
      <c r="E260" s="17" t="s">
        <v>475</v>
      </c>
      <c r="F260" s="17" t="s">
        <v>476</v>
      </c>
      <c r="G260" s="17" t="s">
        <v>477</v>
      </c>
      <c r="H260" s="17" t="s">
        <v>478</v>
      </c>
      <c r="I260" s="17" t="s">
        <v>479</v>
      </c>
      <c r="J260" s="17" t="s">
        <v>480</v>
      </c>
      <c r="K260" s="17" t="s">
        <v>481</v>
      </c>
    </row>
    <row r="261" spans="1:11">
      <c r="C261" s="17" t="s">
        <v>884</v>
      </c>
      <c r="D261" s="17" t="s">
        <v>838</v>
      </c>
      <c r="E261" s="17" t="s">
        <v>885</v>
      </c>
      <c r="F261" s="17" t="s">
        <v>886</v>
      </c>
      <c r="G261" s="17" t="s">
        <v>213</v>
      </c>
      <c r="H261" s="17" t="s">
        <v>887</v>
      </c>
      <c r="I261" s="17" t="s">
        <v>888</v>
      </c>
      <c r="J261" s="17" t="s">
        <v>889</v>
      </c>
      <c r="K261" s="17" t="s">
        <v>890</v>
      </c>
    </row>
    <row r="262" spans="1:11">
      <c r="C262" s="17" t="s">
        <v>485</v>
      </c>
      <c r="D262" s="17" t="s">
        <v>486</v>
      </c>
      <c r="E262" s="17" t="s">
        <v>487</v>
      </c>
      <c r="F262" s="17" t="s">
        <v>488</v>
      </c>
      <c r="G262" s="17" t="s">
        <v>489</v>
      </c>
      <c r="H262" s="17" t="s">
        <v>490</v>
      </c>
      <c r="I262" s="26"/>
      <c r="J262" s="26"/>
      <c r="K262" s="26"/>
    </row>
    <row r="263" spans="1:11">
      <c r="C263" s="33" t="s">
        <v>891</v>
      </c>
      <c r="D263" s="33" t="s">
        <v>892</v>
      </c>
      <c r="E263" s="33" t="s">
        <v>893</v>
      </c>
      <c r="F263" s="33" t="s">
        <v>894</v>
      </c>
      <c r="G263" s="33" t="s">
        <v>895</v>
      </c>
      <c r="H263" s="33" t="s">
        <v>896</v>
      </c>
      <c r="I263" s="26"/>
      <c r="J263" s="26"/>
      <c r="K263" s="26"/>
    </row>
    <row r="264" spans="1:11">
      <c r="C264" s="17" t="s">
        <v>491</v>
      </c>
      <c r="D264" s="17" t="s">
        <v>492</v>
      </c>
      <c r="E264" s="17" t="s">
        <v>493</v>
      </c>
      <c r="F264" s="17" t="s">
        <v>494</v>
      </c>
      <c r="G264" s="17" t="s">
        <v>495</v>
      </c>
      <c r="H264" s="17" t="s">
        <v>496</v>
      </c>
      <c r="I264" s="17" t="s">
        <v>497</v>
      </c>
      <c r="J264" s="17" t="s">
        <v>498</v>
      </c>
      <c r="K264" s="26"/>
    </row>
    <row r="265" spans="1:11">
      <c r="B265" s="1" t="s">
        <v>334</v>
      </c>
      <c r="C265" s="29" t="s">
        <v>897</v>
      </c>
      <c r="D265" s="29" t="s">
        <v>882</v>
      </c>
      <c r="E265" s="29" t="s">
        <v>867</v>
      </c>
      <c r="F265" s="29" t="s">
        <v>852</v>
      </c>
      <c r="G265" s="29" t="s">
        <v>898</v>
      </c>
      <c r="H265" s="29" t="s">
        <v>883</v>
      </c>
      <c r="I265" s="29" t="s">
        <v>868</v>
      </c>
      <c r="J265" s="29" t="s">
        <v>853</v>
      </c>
      <c r="K265" s="26"/>
    </row>
    <row r="266" spans="1:11">
      <c r="B266" s="1"/>
      <c r="C266" s="26"/>
      <c r="D266" s="26"/>
      <c r="E266" s="26"/>
      <c r="F266" s="26"/>
      <c r="G266" s="26"/>
      <c r="H266" s="26"/>
      <c r="I266" s="26"/>
      <c r="J266" s="26"/>
      <c r="K266" s="26"/>
    </row>
    <row r="267" spans="1:11">
      <c r="A267" s="7" t="s">
        <v>332</v>
      </c>
      <c r="B267" s="26">
        <v>30</v>
      </c>
      <c r="C267" s="27" t="s">
        <v>457</v>
      </c>
      <c r="D267" s="27" t="s">
        <v>458</v>
      </c>
      <c r="E267" s="27" t="s">
        <v>459</v>
      </c>
      <c r="F267" s="27" t="s">
        <v>460</v>
      </c>
      <c r="G267" s="27" t="s">
        <v>461</v>
      </c>
      <c r="H267" s="27" t="s">
        <v>462</v>
      </c>
      <c r="I267" s="27" t="s">
        <v>463</v>
      </c>
      <c r="J267" s="27" t="s">
        <v>464</v>
      </c>
      <c r="K267" s="26"/>
    </row>
    <row r="268" spans="1:11">
      <c r="B268" s="1" t="s">
        <v>336</v>
      </c>
      <c r="C268" s="28" t="s">
        <v>897</v>
      </c>
      <c r="D268" s="28" t="s">
        <v>882</v>
      </c>
      <c r="E268" s="28" t="s">
        <v>867</v>
      </c>
      <c r="F268" s="28" t="s">
        <v>852</v>
      </c>
      <c r="G268" s="28" t="s">
        <v>899</v>
      </c>
      <c r="H268" s="28" t="s">
        <v>883</v>
      </c>
      <c r="I268" s="28" t="s">
        <v>868</v>
      </c>
      <c r="J268" s="28" t="s">
        <v>853</v>
      </c>
      <c r="K268" s="26"/>
    </row>
    <row r="269" spans="1:11">
      <c r="C269" s="17" t="s">
        <v>474</v>
      </c>
      <c r="D269" s="17" t="s">
        <v>464</v>
      </c>
      <c r="E269" s="17" t="s">
        <v>475</v>
      </c>
      <c r="F269" s="17" t="s">
        <v>476</v>
      </c>
      <c r="G269" s="17" t="s">
        <v>477</v>
      </c>
      <c r="H269" s="17" t="s">
        <v>478</v>
      </c>
      <c r="I269" s="17" t="s">
        <v>479</v>
      </c>
      <c r="J269" s="17" t="s">
        <v>480</v>
      </c>
      <c r="K269" s="17" t="s">
        <v>481</v>
      </c>
    </row>
    <row r="270" spans="1:11">
      <c r="C270" s="17" t="s">
        <v>900</v>
      </c>
      <c r="D270" s="17" t="s">
        <v>853</v>
      </c>
      <c r="E270" s="17" t="s">
        <v>901</v>
      </c>
      <c r="F270" s="17" t="s">
        <v>902</v>
      </c>
      <c r="G270" s="17" t="s">
        <v>214</v>
      </c>
      <c r="H270" s="17" t="s">
        <v>903</v>
      </c>
      <c r="I270" s="17" t="s">
        <v>904</v>
      </c>
      <c r="J270" s="17" t="s">
        <v>905</v>
      </c>
      <c r="K270" s="17" t="s">
        <v>906</v>
      </c>
    </row>
    <row r="271" spans="1:11">
      <c r="C271" s="17" t="s">
        <v>485</v>
      </c>
      <c r="D271" s="17" t="s">
        <v>486</v>
      </c>
      <c r="E271" s="17" t="s">
        <v>487</v>
      </c>
      <c r="F271" s="17" t="s">
        <v>488</v>
      </c>
      <c r="G271" s="17" t="s">
        <v>489</v>
      </c>
      <c r="H271" s="17" t="s">
        <v>490</v>
      </c>
      <c r="I271" s="26"/>
      <c r="J271" s="26"/>
      <c r="K271" s="26"/>
    </row>
    <row r="272" spans="1:11">
      <c r="C272" s="33" t="s">
        <v>907</v>
      </c>
      <c r="D272" s="33" t="s">
        <v>908</v>
      </c>
      <c r="E272" s="33" t="s">
        <v>909</v>
      </c>
      <c r="F272" s="33" t="s">
        <v>910</v>
      </c>
      <c r="G272" s="33" t="s">
        <v>911</v>
      </c>
      <c r="H272" s="33" t="s">
        <v>912</v>
      </c>
      <c r="I272" s="26"/>
      <c r="J272" s="26"/>
      <c r="K272" s="26"/>
    </row>
    <row r="273" spans="1:11">
      <c r="C273" s="17" t="s">
        <v>491</v>
      </c>
      <c r="D273" s="17" t="s">
        <v>492</v>
      </c>
      <c r="E273" s="17" t="s">
        <v>493</v>
      </c>
      <c r="F273" s="17" t="s">
        <v>494</v>
      </c>
      <c r="G273" s="17" t="s">
        <v>495</v>
      </c>
      <c r="H273" s="17" t="s">
        <v>496</v>
      </c>
      <c r="I273" s="17" t="s">
        <v>497</v>
      </c>
      <c r="J273" s="17" t="s">
        <v>498</v>
      </c>
      <c r="K273" s="26"/>
    </row>
    <row r="274" spans="1:11">
      <c r="B274" s="1" t="s">
        <v>337</v>
      </c>
      <c r="C274" s="29" t="s">
        <v>913</v>
      </c>
      <c r="D274" s="29" t="s">
        <v>897</v>
      </c>
      <c r="E274" s="29" t="s">
        <v>882</v>
      </c>
      <c r="F274" s="29" t="s">
        <v>867</v>
      </c>
      <c r="G274" s="29" t="s">
        <v>914</v>
      </c>
      <c r="H274" s="29" t="s">
        <v>899</v>
      </c>
      <c r="I274" s="29" t="s">
        <v>883</v>
      </c>
      <c r="J274" s="29" t="s">
        <v>868</v>
      </c>
      <c r="K274" s="26"/>
    </row>
    <row r="275" spans="1:11">
      <c r="B275" s="1"/>
      <c r="C275" s="26"/>
      <c r="D275" s="26"/>
      <c r="E275" s="26"/>
      <c r="F275" s="26"/>
      <c r="G275" s="26"/>
      <c r="H275" s="26"/>
      <c r="I275" s="26"/>
      <c r="J275" s="26"/>
      <c r="K275" s="26"/>
    </row>
    <row r="276" spans="1:11">
      <c r="A276" s="7" t="s">
        <v>335</v>
      </c>
      <c r="B276" s="26">
        <v>31</v>
      </c>
      <c r="C276" s="27" t="s">
        <v>457</v>
      </c>
      <c r="D276" s="27" t="s">
        <v>458</v>
      </c>
      <c r="E276" s="27" t="s">
        <v>459</v>
      </c>
      <c r="F276" s="27" t="s">
        <v>460</v>
      </c>
      <c r="G276" s="27" t="s">
        <v>461</v>
      </c>
      <c r="H276" s="27" t="s">
        <v>462</v>
      </c>
      <c r="I276" s="27" t="s">
        <v>463</v>
      </c>
      <c r="J276" s="27" t="s">
        <v>464</v>
      </c>
      <c r="K276" s="26"/>
    </row>
    <row r="277" spans="1:11">
      <c r="B277" s="1" t="s">
        <v>339</v>
      </c>
      <c r="C277" s="28" t="s">
        <v>913</v>
      </c>
      <c r="D277" s="28" t="s">
        <v>897</v>
      </c>
      <c r="E277" s="28" t="s">
        <v>882</v>
      </c>
      <c r="F277" s="28" t="s">
        <v>867</v>
      </c>
      <c r="G277" s="28" t="s">
        <v>914</v>
      </c>
      <c r="H277" s="28" t="s">
        <v>899</v>
      </c>
      <c r="I277" s="28" t="s">
        <v>883</v>
      </c>
      <c r="J277" s="28" t="s">
        <v>868</v>
      </c>
      <c r="K277" s="26"/>
    </row>
    <row r="278" spans="1:11">
      <c r="C278" s="17" t="s">
        <v>474</v>
      </c>
      <c r="D278" s="17" t="s">
        <v>464</v>
      </c>
      <c r="E278" s="17" t="s">
        <v>475</v>
      </c>
      <c r="F278" s="17" t="s">
        <v>476</v>
      </c>
      <c r="G278" s="17" t="s">
        <v>477</v>
      </c>
      <c r="H278" s="17" t="s">
        <v>478</v>
      </c>
      <c r="I278" s="17" t="s">
        <v>479</v>
      </c>
      <c r="J278" s="17" t="s">
        <v>480</v>
      </c>
      <c r="K278" s="17" t="s">
        <v>481</v>
      </c>
    </row>
    <row r="279" spans="1:11">
      <c r="C279" s="17" t="s">
        <v>915</v>
      </c>
      <c r="D279" s="17" t="s">
        <v>868</v>
      </c>
      <c r="E279" s="17" t="s">
        <v>916</v>
      </c>
      <c r="F279" s="17" t="s">
        <v>917</v>
      </c>
      <c r="G279" s="17" t="s">
        <v>215</v>
      </c>
      <c r="H279" s="17" t="s">
        <v>918</v>
      </c>
      <c r="I279" s="17" t="s">
        <v>919</v>
      </c>
      <c r="J279" s="17" t="s">
        <v>920</v>
      </c>
      <c r="K279" s="17" t="s">
        <v>921</v>
      </c>
    </row>
    <row r="280" spans="1:11">
      <c r="C280" s="17" t="s">
        <v>485</v>
      </c>
      <c r="D280" s="17" t="s">
        <v>486</v>
      </c>
      <c r="E280" s="17" t="s">
        <v>487</v>
      </c>
      <c r="F280" s="17" t="s">
        <v>488</v>
      </c>
      <c r="G280" s="17" t="s">
        <v>489</v>
      </c>
      <c r="H280" s="17" t="s">
        <v>490</v>
      </c>
      <c r="I280" s="26"/>
      <c r="J280" s="26"/>
      <c r="K280" s="26"/>
    </row>
    <row r="281" spans="1:11">
      <c r="C281" s="33" t="s">
        <v>922</v>
      </c>
      <c r="D281" s="33" t="s">
        <v>923</v>
      </c>
      <c r="E281" s="33" t="s">
        <v>924</v>
      </c>
      <c r="F281" s="33" t="s">
        <v>925</v>
      </c>
      <c r="G281" s="33" t="s">
        <v>926</v>
      </c>
      <c r="H281" s="33" t="s">
        <v>927</v>
      </c>
      <c r="I281" s="26"/>
      <c r="J281" s="26"/>
      <c r="K281" s="26"/>
    </row>
    <row r="282" spans="1:11">
      <c r="C282" s="17" t="s">
        <v>491</v>
      </c>
      <c r="D282" s="17" t="s">
        <v>492</v>
      </c>
      <c r="E282" s="17" t="s">
        <v>493</v>
      </c>
      <c r="F282" s="17" t="s">
        <v>494</v>
      </c>
      <c r="G282" s="17" t="s">
        <v>495</v>
      </c>
      <c r="H282" s="17" t="s">
        <v>496</v>
      </c>
      <c r="I282" s="17" t="s">
        <v>497</v>
      </c>
      <c r="J282" s="17" t="s">
        <v>498</v>
      </c>
      <c r="K282" s="26"/>
    </row>
    <row r="283" spans="1:11">
      <c r="B283" s="1" t="s">
        <v>340</v>
      </c>
      <c r="C283" s="29" t="s">
        <v>928</v>
      </c>
      <c r="D283" s="29" t="s">
        <v>913</v>
      </c>
      <c r="E283" s="29" t="s">
        <v>897</v>
      </c>
      <c r="F283" s="29" t="s">
        <v>882</v>
      </c>
      <c r="G283" s="29" t="s">
        <v>929</v>
      </c>
      <c r="H283" s="29" t="s">
        <v>914</v>
      </c>
      <c r="I283" s="29" t="s">
        <v>899</v>
      </c>
      <c r="J283" s="29" t="s">
        <v>883</v>
      </c>
      <c r="K283" s="26"/>
    </row>
    <row r="284" spans="1:11">
      <c r="B284" s="1"/>
      <c r="C284" s="26"/>
      <c r="D284" s="26"/>
      <c r="E284" s="26"/>
      <c r="F284" s="26"/>
      <c r="G284" s="26"/>
      <c r="H284" s="26"/>
      <c r="I284" s="26"/>
      <c r="J284" s="26"/>
      <c r="K284" s="26"/>
    </row>
    <row r="285" spans="1:11">
      <c r="A285" s="7" t="s">
        <v>338</v>
      </c>
      <c r="B285" s="26">
        <v>32</v>
      </c>
      <c r="C285" s="27" t="s">
        <v>457</v>
      </c>
      <c r="D285" s="27" t="s">
        <v>458</v>
      </c>
      <c r="E285" s="27" t="s">
        <v>459</v>
      </c>
      <c r="F285" s="27" t="s">
        <v>460</v>
      </c>
      <c r="G285" s="27" t="s">
        <v>461</v>
      </c>
      <c r="H285" s="27" t="s">
        <v>462</v>
      </c>
      <c r="I285" s="27" t="s">
        <v>463</v>
      </c>
      <c r="J285" s="27" t="s">
        <v>464</v>
      </c>
      <c r="K285" s="26"/>
    </row>
    <row r="286" spans="1:11">
      <c r="B286" s="1" t="s">
        <v>342</v>
      </c>
      <c r="C286" s="28" t="s">
        <v>928</v>
      </c>
      <c r="D286" s="28" t="s">
        <v>913</v>
      </c>
      <c r="E286" s="28" t="s">
        <v>897</v>
      </c>
      <c r="F286" s="28" t="s">
        <v>882</v>
      </c>
      <c r="G286" s="28" t="s">
        <v>929</v>
      </c>
      <c r="H286" s="28" t="s">
        <v>914</v>
      </c>
      <c r="I286" s="28" t="s">
        <v>899</v>
      </c>
      <c r="J286" s="28" t="s">
        <v>883</v>
      </c>
      <c r="K286" s="26"/>
    </row>
    <row r="287" spans="1:11">
      <c r="C287" s="17" t="s">
        <v>474</v>
      </c>
      <c r="D287" s="17" t="s">
        <v>464</v>
      </c>
      <c r="E287" s="17" t="s">
        <v>475</v>
      </c>
      <c r="F287" s="17" t="s">
        <v>476</v>
      </c>
      <c r="G287" s="17" t="s">
        <v>477</v>
      </c>
      <c r="H287" s="17" t="s">
        <v>478</v>
      </c>
      <c r="I287" s="17" t="s">
        <v>479</v>
      </c>
      <c r="J287" s="17" t="s">
        <v>480</v>
      </c>
      <c r="K287" s="17" t="s">
        <v>481</v>
      </c>
    </row>
    <row r="288" spans="1:11">
      <c r="C288" s="17" t="s">
        <v>930</v>
      </c>
      <c r="D288" s="17" t="s">
        <v>883</v>
      </c>
      <c r="E288" s="17" t="s">
        <v>931</v>
      </c>
      <c r="F288" s="17" t="s">
        <v>932</v>
      </c>
      <c r="G288" s="17">
        <v>14292967</v>
      </c>
      <c r="H288" s="17" t="s">
        <v>933</v>
      </c>
      <c r="I288" s="17" t="s">
        <v>934</v>
      </c>
      <c r="J288" s="17" t="s">
        <v>935</v>
      </c>
      <c r="K288" s="17" t="s">
        <v>936</v>
      </c>
    </row>
    <row r="289" spans="1:11">
      <c r="C289" s="17" t="s">
        <v>485</v>
      </c>
      <c r="D289" s="17" t="s">
        <v>486</v>
      </c>
      <c r="E289" s="17" t="s">
        <v>487</v>
      </c>
      <c r="F289" s="17" t="s">
        <v>488</v>
      </c>
      <c r="G289" s="17" t="s">
        <v>489</v>
      </c>
      <c r="H289" s="17" t="s">
        <v>490</v>
      </c>
      <c r="I289" s="26"/>
      <c r="J289" s="26"/>
      <c r="K289" s="26"/>
    </row>
    <row r="290" spans="1:11">
      <c r="C290" s="33" t="s">
        <v>937</v>
      </c>
      <c r="D290" s="33" t="s">
        <v>938</v>
      </c>
      <c r="E290" s="33" t="s">
        <v>939</v>
      </c>
      <c r="F290" s="33" t="s">
        <v>940</v>
      </c>
      <c r="G290" s="33" t="s">
        <v>941</v>
      </c>
      <c r="H290" s="33" t="s">
        <v>942</v>
      </c>
      <c r="I290" s="26"/>
      <c r="J290" s="26"/>
      <c r="K290" s="26"/>
    </row>
    <row r="291" spans="1:11">
      <c r="C291" s="17" t="s">
        <v>491</v>
      </c>
      <c r="D291" s="17" t="s">
        <v>492</v>
      </c>
      <c r="E291" s="17" t="s">
        <v>493</v>
      </c>
      <c r="F291" s="17" t="s">
        <v>494</v>
      </c>
      <c r="G291" s="17" t="s">
        <v>495</v>
      </c>
      <c r="H291" s="17" t="s">
        <v>496</v>
      </c>
      <c r="I291" s="17" t="s">
        <v>497</v>
      </c>
      <c r="J291" s="17" t="s">
        <v>498</v>
      </c>
      <c r="K291" s="26"/>
    </row>
    <row r="292" spans="1:11">
      <c r="B292" s="1" t="s">
        <v>343</v>
      </c>
      <c r="C292" s="29" t="s">
        <v>943</v>
      </c>
      <c r="D292" s="29" t="s">
        <v>928</v>
      </c>
      <c r="E292" s="29" t="s">
        <v>913</v>
      </c>
      <c r="F292" s="29" t="s">
        <v>897</v>
      </c>
      <c r="G292" s="29" t="s">
        <v>944</v>
      </c>
      <c r="H292" s="29" t="s">
        <v>929</v>
      </c>
      <c r="I292" s="29" t="s">
        <v>914</v>
      </c>
      <c r="J292" s="29" t="s">
        <v>899</v>
      </c>
      <c r="K292" s="26"/>
    </row>
    <row r="293" spans="1:11">
      <c r="B293" s="1"/>
      <c r="C293" s="26"/>
      <c r="D293" s="26"/>
      <c r="E293" s="26"/>
      <c r="F293" s="26"/>
      <c r="G293" s="26"/>
      <c r="H293" s="26"/>
      <c r="I293" s="26"/>
      <c r="J293" s="26"/>
      <c r="K293" s="26"/>
    </row>
    <row r="294" spans="1:11">
      <c r="A294" s="7" t="s">
        <v>341</v>
      </c>
      <c r="B294" s="26">
        <v>33</v>
      </c>
      <c r="C294" s="27" t="s">
        <v>457</v>
      </c>
      <c r="D294" s="27" t="s">
        <v>458</v>
      </c>
      <c r="E294" s="27" t="s">
        <v>459</v>
      </c>
      <c r="F294" s="27" t="s">
        <v>460</v>
      </c>
      <c r="G294" s="27" t="s">
        <v>461</v>
      </c>
      <c r="H294" s="27" t="s">
        <v>462</v>
      </c>
      <c r="I294" s="27" t="s">
        <v>463</v>
      </c>
      <c r="J294" s="27" t="s">
        <v>464</v>
      </c>
      <c r="K294" s="26"/>
    </row>
    <row r="295" spans="1:11">
      <c r="B295" s="1" t="s">
        <v>345</v>
      </c>
      <c r="C295" s="28" t="s">
        <v>943</v>
      </c>
      <c r="D295" s="28" t="s">
        <v>928</v>
      </c>
      <c r="E295" s="28" t="s">
        <v>913</v>
      </c>
      <c r="F295" s="28" t="s">
        <v>897</v>
      </c>
      <c r="G295" s="28" t="s">
        <v>944</v>
      </c>
      <c r="H295" s="28" t="s">
        <v>929</v>
      </c>
      <c r="I295" s="28" t="s">
        <v>914</v>
      </c>
      <c r="J295" s="28" t="s">
        <v>899</v>
      </c>
      <c r="K295" s="26"/>
    </row>
    <row r="296" spans="1:11">
      <c r="C296" s="17" t="s">
        <v>474</v>
      </c>
      <c r="D296" s="17" t="s">
        <v>464</v>
      </c>
      <c r="E296" s="17" t="s">
        <v>475</v>
      </c>
      <c r="F296" s="17" t="s">
        <v>476</v>
      </c>
      <c r="G296" s="17" t="s">
        <v>477</v>
      </c>
      <c r="H296" s="17" t="s">
        <v>478</v>
      </c>
      <c r="I296" s="17" t="s">
        <v>479</v>
      </c>
      <c r="J296" s="17" t="s">
        <v>480</v>
      </c>
      <c r="K296" s="17" t="s">
        <v>481</v>
      </c>
    </row>
    <row r="297" spans="1:11">
      <c r="C297" s="17" t="s">
        <v>945</v>
      </c>
      <c r="D297" s="17" t="s">
        <v>899</v>
      </c>
      <c r="E297" s="17" t="s">
        <v>946</v>
      </c>
      <c r="F297" s="17" t="s">
        <v>947</v>
      </c>
      <c r="G297" s="17" t="s">
        <v>216</v>
      </c>
      <c r="H297" s="17" t="s">
        <v>948</v>
      </c>
      <c r="I297" s="17" t="s">
        <v>949</v>
      </c>
      <c r="J297" s="17" t="s">
        <v>950</v>
      </c>
      <c r="K297" s="17" t="s">
        <v>951</v>
      </c>
    </row>
    <row r="298" spans="1:11">
      <c r="C298" s="17" t="s">
        <v>485</v>
      </c>
      <c r="D298" s="17" t="s">
        <v>486</v>
      </c>
      <c r="E298" s="17" t="s">
        <v>487</v>
      </c>
      <c r="F298" s="17" t="s">
        <v>488</v>
      </c>
      <c r="G298" s="17" t="s">
        <v>489</v>
      </c>
      <c r="H298" s="17" t="s">
        <v>490</v>
      </c>
      <c r="I298" s="26"/>
      <c r="J298" s="26"/>
      <c r="K298" s="26"/>
    </row>
    <row r="299" spans="1:11">
      <c r="C299" s="33" t="s">
        <v>952</v>
      </c>
      <c r="D299" s="33" t="s">
        <v>953</v>
      </c>
      <c r="E299" s="33" t="s">
        <v>954</v>
      </c>
      <c r="F299" s="33" t="s">
        <v>955</v>
      </c>
      <c r="G299" s="33" t="s">
        <v>956</v>
      </c>
      <c r="H299" s="33" t="s">
        <v>957</v>
      </c>
      <c r="I299" s="26"/>
      <c r="J299" s="26"/>
      <c r="K299" s="26"/>
    </row>
    <row r="300" spans="1:11">
      <c r="C300" s="17" t="s">
        <v>491</v>
      </c>
      <c r="D300" s="17" t="s">
        <v>492</v>
      </c>
      <c r="E300" s="17" t="s">
        <v>493</v>
      </c>
      <c r="F300" s="17" t="s">
        <v>494</v>
      </c>
      <c r="G300" s="17" t="s">
        <v>495</v>
      </c>
      <c r="H300" s="17" t="s">
        <v>496</v>
      </c>
      <c r="I300" s="17" t="s">
        <v>497</v>
      </c>
      <c r="J300" s="17" t="s">
        <v>498</v>
      </c>
      <c r="K300" s="26"/>
    </row>
    <row r="301" spans="1:11">
      <c r="B301" s="1" t="s">
        <v>346</v>
      </c>
      <c r="C301" s="29" t="s">
        <v>958</v>
      </c>
      <c r="D301" s="29" t="s">
        <v>943</v>
      </c>
      <c r="E301" s="29" t="s">
        <v>928</v>
      </c>
      <c r="F301" s="29" t="s">
        <v>913</v>
      </c>
      <c r="G301" s="29" t="s">
        <v>959</v>
      </c>
      <c r="H301" s="29" t="s">
        <v>944</v>
      </c>
      <c r="I301" s="29" t="s">
        <v>929</v>
      </c>
      <c r="J301" s="29" t="s">
        <v>914</v>
      </c>
      <c r="K301" s="26"/>
    </row>
    <row r="302" spans="1:11">
      <c r="B302" s="1"/>
      <c r="C302" s="26"/>
      <c r="D302" s="26"/>
      <c r="E302" s="26"/>
      <c r="F302" s="26"/>
      <c r="G302" s="26"/>
      <c r="H302" s="26"/>
      <c r="I302" s="26"/>
      <c r="J302" s="26"/>
      <c r="K302" s="26"/>
    </row>
    <row r="303" spans="1:11">
      <c r="A303" s="7" t="s">
        <v>344</v>
      </c>
      <c r="B303" s="26">
        <v>34</v>
      </c>
      <c r="C303" s="27" t="s">
        <v>457</v>
      </c>
      <c r="D303" s="27" t="s">
        <v>458</v>
      </c>
      <c r="E303" s="27" t="s">
        <v>459</v>
      </c>
      <c r="F303" s="27" t="s">
        <v>460</v>
      </c>
      <c r="G303" s="27" t="s">
        <v>461</v>
      </c>
      <c r="H303" s="27" t="s">
        <v>462</v>
      </c>
      <c r="I303" s="27" t="s">
        <v>463</v>
      </c>
      <c r="J303" s="27" t="s">
        <v>464</v>
      </c>
      <c r="K303" s="26"/>
    </row>
    <row r="304" spans="1:11">
      <c r="B304" s="1" t="s">
        <v>348</v>
      </c>
      <c r="C304" s="28" t="s">
        <v>958</v>
      </c>
      <c r="D304" s="28" t="s">
        <v>943</v>
      </c>
      <c r="E304" s="28" t="s">
        <v>928</v>
      </c>
      <c r="F304" s="28" t="s">
        <v>913</v>
      </c>
      <c r="G304" s="28" t="s">
        <v>959</v>
      </c>
      <c r="H304" s="28" t="s">
        <v>944</v>
      </c>
      <c r="I304" s="28" t="s">
        <v>929</v>
      </c>
      <c r="J304" s="28" t="s">
        <v>914</v>
      </c>
      <c r="K304" s="26"/>
    </row>
    <row r="305" spans="1:11">
      <c r="C305" s="17" t="s">
        <v>474</v>
      </c>
      <c r="D305" s="17" t="s">
        <v>464</v>
      </c>
      <c r="E305" s="17" t="s">
        <v>475</v>
      </c>
      <c r="F305" s="17" t="s">
        <v>476</v>
      </c>
      <c r="G305" s="17" t="s">
        <v>477</v>
      </c>
      <c r="H305" s="17" t="s">
        <v>478</v>
      </c>
      <c r="I305" s="17" t="s">
        <v>479</v>
      </c>
      <c r="J305" s="17" t="s">
        <v>480</v>
      </c>
      <c r="K305" s="17" t="s">
        <v>481</v>
      </c>
    </row>
    <row r="306" spans="1:11">
      <c r="C306" s="17" t="s">
        <v>960</v>
      </c>
      <c r="D306" s="17" t="s">
        <v>914</v>
      </c>
      <c r="E306" s="17" t="s">
        <v>961</v>
      </c>
      <c r="F306" s="17" t="s">
        <v>962</v>
      </c>
      <c r="G306" s="17" t="s">
        <v>217</v>
      </c>
      <c r="H306" s="17" t="s">
        <v>963</v>
      </c>
      <c r="I306" s="17" t="s">
        <v>964</v>
      </c>
      <c r="J306" s="17" t="s">
        <v>965</v>
      </c>
      <c r="K306" s="17" t="s">
        <v>966</v>
      </c>
    </row>
    <row r="307" spans="1:11">
      <c r="C307" s="17" t="s">
        <v>485</v>
      </c>
      <c r="D307" s="17" t="s">
        <v>486</v>
      </c>
      <c r="E307" s="17" t="s">
        <v>487</v>
      </c>
      <c r="F307" s="17" t="s">
        <v>488</v>
      </c>
      <c r="G307" s="17" t="s">
        <v>489</v>
      </c>
      <c r="H307" s="17" t="s">
        <v>490</v>
      </c>
      <c r="I307" s="26"/>
      <c r="J307" s="26"/>
      <c r="K307" s="26"/>
    </row>
    <row r="308" spans="1:11">
      <c r="C308" s="33" t="s">
        <v>967</v>
      </c>
      <c r="D308" s="33" t="s">
        <v>968</v>
      </c>
      <c r="E308" s="33" t="s">
        <v>969</v>
      </c>
      <c r="F308" s="33" t="s">
        <v>970</v>
      </c>
      <c r="G308" s="33" t="s">
        <v>971</v>
      </c>
      <c r="H308" s="33" t="s">
        <v>972</v>
      </c>
      <c r="I308" s="26"/>
      <c r="J308" s="26"/>
      <c r="K308" s="26"/>
    </row>
    <row r="309" spans="1:11">
      <c r="C309" s="17" t="s">
        <v>491</v>
      </c>
      <c r="D309" s="17" t="s">
        <v>492</v>
      </c>
      <c r="E309" s="17" t="s">
        <v>493</v>
      </c>
      <c r="F309" s="17" t="s">
        <v>494</v>
      </c>
      <c r="G309" s="17" t="s">
        <v>495</v>
      </c>
      <c r="H309" s="17" t="s">
        <v>496</v>
      </c>
      <c r="I309" s="17" t="s">
        <v>497</v>
      </c>
      <c r="J309" s="17" t="s">
        <v>498</v>
      </c>
      <c r="K309" s="26"/>
    </row>
    <row r="310" spans="1:11">
      <c r="B310" s="1" t="s">
        <v>349</v>
      </c>
      <c r="C310" s="29" t="s">
        <v>973</v>
      </c>
      <c r="D310" s="29" t="s">
        <v>958</v>
      </c>
      <c r="E310" s="29" t="s">
        <v>943</v>
      </c>
      <c r="F310" s="29" t="s">
        <v>928</v>
      </c>
      <c r="G310" s="29" t="s">
        <v>974</v>
      </c>
      <c r="H310" s="29" t="s">
        <v>959</v>
      </c>
      <c r="I310" s="29" t="s">
        <v>944</v>
      </c>
      <c r="J310" s="29" t="s">
        <v>929</v>
      </c>
      <c r="K310" s="26"/>
    </row>
    <row r="311" spans="1:11">
      <c r="B311" s="1"/>
      <c r="C311" s="26"/>
      <c r="D311" s="26"/>
      <c r="E311" s="26"/>
      <c r="F311" s="26"/>
      <c r="G311" s="26"/>
      <c r="H311" s="26"/>
      <c r="I311" s="26"/>
      <c r="J311" s="26"/>
      <c r="K311" s="26"/>
    </row>
    <row r="312" spans="1:11">
      <c r="A312" s="7" t="s">
        <v>347</v>
      </c>
      <c r="B312" s="26">
        <v>35</v>
      </c>
      <c r="C312" s="27" t="s">
        <v>457</v>
      </c>
      <c r="D312" s="27" t="s">
        <v>458</v>
      </c>
      <c r="E312" s="27" t="s">
        <v>459</v>
      </c>
      <c r="F312" s="27" t="s">
        <v>460</v>
      </c>
      <c r="G312" s="27" t="s">
        <v>461</v>
      </c>
      <c r="H312" s="27" t="s">
        <v>462</v>
      </c>
      <c r="I312" s="27" t="s">
        <v>463</v>
      </c>
      <c r="J312" s="27" t="s">
        <v>464</v>
      </c>
      <c r="K312" s="26"/>
    </row>
    <row r="313" spans="1:11">
      <c r="B313" s="1" t="s">
        <v>351</v>
      </c>
      <c r="C313" s="28" t="s">
        <v>973</v>
      </c>
      <c r="D313" s="28" t="s">
        <v>958</v>
      </c>
      <c r="E313" s="28" t="s">
        <v>943</v>
      </c>
      <c r="F313" s="28" t="s">
        <v>928</v>
      </c>
      <c r="G313" s="28" t="s">
        <v>974</v>
      </c>
      <c r="H313" s="28" t="s">
        <v>959</v>
      </c>
      <c r="I313" s="28" t="s">
        <v>944</v>
      </c>
      <c r="J313" s="28" t="s">
        <v>929</v>
      </c>
      <c r="K313" s="26"/>
    </row>
    <row r="314" spans="1:11">
      <c r="C314" s="17" t="s">
        <v>474</v>
      </c>
      <c r="D314" s="17" t="s">
        <v>464</v>
      </c>
      <c r="E314" s="17" t="s">
        <v>475</v>
      </c>
      <c r="F314" s="17" t="s">
        <v>476</v>
      </c>
      <c r="G314" s="17" t="s">
        <v>477</v>
      </c>
      <c r="H314" s="17" t="s">
        <v>478</v>
      </c>
      <c r="I314" s="17" t="s">
        <v>479</v>
      </c>
      <c r="J314" s="17" t="s">
        <v>480</v>
      </c>
      <c r="K314" s="17" t="s">
        <v>481</v>
      </c>
    </row>
    <row r="315" spans="1:11">
      <c r="C315" s="17" t="s">
        <v>975</v>
      </c>
      <c r="D315" s="17" t="s">
        <v>929</v>
      </c>
      <c r="E315" s="17" t="s">
        <v>976</v>
      </c>
      <c r="F315" s="17" t="s">
        <v>977</v>
      </c>
      <c r="G315" s="17" t="s">
        <v>218</v>
      </c>
      <c r="H315" s="17" t="s">
        <v>978</v>
      </c>
      <c r="I315" s="17" t="s">
        <v>979</v>
      </c>
      <c r="J315" s="17" t="s">
        <v>980</v>
      </c>
      <c r="K315" s="17" t="s">
        <v>981</v>
      </c>
    </row>
    <row r="316" spans="1:11">
      <c r="C316" s="17" t="s">
        <v>485</v>
      </c>
      <c r="D316" s="17" t="s">
        <v>486</v>
      </c>
      <c r="E316" s="17" t="s">
        <v>487</v>
      </c>
      <c r="F316" s="17" t="s">
        <v>488</v>
      </c>
      <c r="G316" s="17" t="s">
        <v>489</v>
      </c>
      <c r="H316" s="17" t="s">
        <v>490</v>
      </c>
      <c r="I316" s="26"/>
      <c r="J316" s="26"/>
      <c r="K316" s="26"/>
    </row>
    <row r="317" spans="1:11">
      <c r="C317" s="33" t="s">
        <v>982</v>
      </c>
      <c r="D317" s="33" t="s">
        <v>983</v>
      </c>
      <c r="E317" s="33" t="s">
        <v>984</v>
      </c>
      <c r="F317" s="33" t="s">
        <v>985</v>
      </c>
      <c r="G317" s="33" t="s">
        <v>986</v>
      </c>
      <c r="H317" s="33" t="s">
        <v>987</v>
      </c>
      <c r="I317" s="26"/>
      <c r="J317" s="26"/>
      <c r="K317" s="26"/>
    </row>
    <row r="318" spans="1:11">
      <c r="C318" s="17" t="s">
        <v>491</v>
      </c>
      <c r="D318" s="17" t="s">
        <v>492</v>
      </c>
      <c r="E318" s="17" t="s">
        <v>493</v>
      </c>
      <c r="F318" s="17" t="s">
        <v>494</v>
      </c>
      <c r="G318" s="17" t="s">
        <v>495</v>
      </c>
      <c r="H318" s="17" t="s">
        <v>496</v>
      </c>
      <c r="I318" s="17" t="s">
        <v>497</v>
      </c>
      <c r="J318" s="17" t="s">
        <v>498</v>
      </c>
      <c r="K318" s="26"/>
    </row>
    <row r="319" spans="1:11">
      <c r="B319" s="1" t="s">
        <v>352</v>
      </c>
      <c r="C319" s="29" t="s">
        <v>988</v>
      </c>
      <c r="D319" s="29" t="s">
        <v>973</v>
      </c>
      <c r="E319" s="29" t="s">
        <v>958</v>
      </c>
      <c r="F319" s="29" t="s">
        <v>943</v>
      </c>
      <c r="G319" s="29" t="s">
        <v>989</v>
      </c>
      <c r="H319" s="29" t="s">
        <v>974</v>
      </c>
      <c r="I319" s="29" t="s">
        <v>959</v>
      </c>
      <c r="J319" s="29" t="s">
        <v>944</v>
      </c>
      <c r="K319" s="26"/>
    </row>
    <row r="320" spans="1:11">
      <c r="B320" s="1"/>
      <c r="C320" s="26"/>
      <c r="D320" s="26"/>
      <c r="E320" s="26"/>
      <c r="F320" s="26"/>
      <c r="G320" s="26"/>
      <c r="H320" s="26"/>
      <c r="I320" s="26"/>
      <c r="J320" s="26"/>
      <c r="K320" s="26"/>
    </row>
    <row r="321" spans="1:11">
      <c r="A321" s="7" t="s">
        <v>350</v>
      </c>
      <c r="B321" s="26">
        <v>36</v>
      </c>
      <c r="C321" s="27" t="s">
        <v>457</v>
      </c>
      <c r="D321" s="27" t="s">
        <v>458</v>
      </c>
      <c r="E321" s="27" t="s">
        <v>459</v>
      </c>
      <c r="F321" s="27" t="s">
        <v>460</v>
      </c>
      <c r="G321" s="27" t="s">
        <v>461</v>
      </c>
      <c r="H321" s="27" t="s">
        <v>462</v>
      </c>
      <c r="I321" s="27" t="s">
        <v>463</v>
      </c>
      <c r="J321" s="27" t="s">
        <v>464</v>
      </c>
      <c r="K321" s="26"/>
    </row>
    <row r="322" spans="1:11">
      <c r="B322" s="1" t="s">
        <v>354</v>
      </c>
      <c r="C322" s="28" t="s">
        <v>988</v>
      </c>
      <c r="D322" s="28" t="s">
        <v>973</v>
      </c>
      <c r="E322" s="28" t="s">
        <v>958</v>
      </c>
      <c r="F322" s="28" t="s">
        <v>943</v>
      </c>
      <c r="G322" s="28" t="s">
        <v>989</v>
      </c>
      <c r="H322" s="28" t="s">
        <v>974</v>
      </c>
      <c r="I322" s="28" t="s">
        <v>959</v>
      </c>
      <c r="J322" s="28" t="s">
        <v>944</v>
      </c>
      <c r="K322" s="26"/>
    </row>
    <row r="323" spans="1:11">
      <c r="C323" s="17" t="s">
        <v>474</v>
      </c>
      <c r="D323" s="17" t="s">
        <v>464</v>
      </c>
      <c r="E323" s="17" t="s">
        <v>475</v>
      </c>
      <c r="F323" s="17" t="s">
        <v>476</v>
      </c>
      <c r="G323" s="17" t="s">
        <v>477</v>
      </c>
      <c r="H323" s="17" t="s">
        <v>478</v>
      </c>
      <c r="I323" s="17" t="s">
        <v>479</v>
      </c>
      <c r="J323" s="17" t="s">
        <v>480</v>
      </c>
      <c r="K323" s="17" t="s">
        <v>481</v>
      </c>
    </row>
    <row r="324" spans="1:11">
      <c r="C324" s="17" t="s">
        <v>990</v>
      </c>
      <c r="D324" s="17" t="s">
        <v>944</v>
      </c>
      <c r="E324" s="17" t="s">
        <v>991</v>
      </c>
      <c r="F324" s="17" t="s">
        <v>992</v>
      </c>
      <c r="G324" s="17" t="s">
        <v>219</v>
      </c>
      <c r="H324" s="17" t="s">
        <v>993</v>
      </c>
      <c r="I324" s="17" t="s">
        <v>994</v>
      </c>
      <c r="J324" s="17" t="s">
        <v>995</v>
      </c>
      <c r="K324" s="17" t="s">
        <v>996</v>
      </c>
    </row>
    <row r="325" spans="1:11">
      <c r="C325" s="17" t="s">
        <v>485</v>
      </c>
      <c r="D325" s="17" t="s">
        <v>486</v>
      </c>
      <c r="E325" s="17" t="s">
        <v>487</v>
      </c>
      <c r="F325" s="17" t="s">
        <v>488</v>
      </c>
      <c r="G325" s="17" t="s">
        <v>489</v>
      </c>
      <c r="H325" s="17" t="s">
        <v>490</v>
      </c>
      <c r="I325" s="26"/>
      <c r="J325" s="26"/>
      <c r="K325" s="26"/>
    </row>
    <row r="326" spans="1:11">
      <c r="C326" s="33" t="s">
        <v>997</v>
      </c>
      <c r="D326" s="33" t="s">
        <v>998</v>
      </c>
      <c r="E326" s="33" t="s">
        <v>999</v>
      </c>
      <c r="F326" s="33" t="s">
        <v>1000</v>
      </c>
      <c r="G326" s="33" t="s">
        <v>1001</v>
      </c>
      <c r="H326" s="33" t="s">
        <v>1002</v>
      </c>
      <c r="I326" s="26"/>
      <c r="J326" s="26"/>
      <c r="K326" s="26"/>
    </row>
    <row r="327" spans="1:11">
      <c r="C327" s="17" t="s">
        <v>491</v>
      </c>
      <c r="D327" s="17" t="s">
        <v>492</v>
      </c>
      <c r="E327" s="17" t="s">
        <v>493</v>
      </c>
      <c r="F327" s="17" t="s">
        <v>494</v>
      </c>
      <c r="G327" s="17" t="s">
        <v>495</v>
      </c>
      <c r="H327" s="17" t="s">
        <v>496</v>
      </c>
      <c r="I327" s="17" t="s">
        <v>497</v>
      </c>
      <c r="J327" s="17" t="s">
        <v>498</v>
      </c>
      <c r="K327" s="26"/>
    </row>
    <row r="328" spans="1:11">
      <c r="B328" s="1" t="s">
        <v>355</v>
      </c>
      <c r="C328" s="29" t="s">
        <v>1003</v>
      </c>
      <c r="D328" s="29" t="s">
        <v>988</v>
      </c>
      <c r="E328" s="29" t="s">
        <v>973</v>
      </c>
      <c r="F328" s="29" t="s">
        <v>958</v>
      </c>
      <c r="G328" s="29" t="s">
        <v>1004</v>
      </c>
      <c r="H328" s="29" t="s">
        <v>989</v>
      </c>
      <c r="I328" s="29" t="s">
        <v>974</v>
      </c>
      <c r="J328" s="29" t="s">
        <v>959</v>
      </c>
      <c r="K328" s="26"/>
    </row>
    <row r="329" spans="1:11">
      <c r="B329" s="1"/>
      <c r="C329" s="26"/>
      <c r="D329" s="26"/>
      <c r="E329" s="26"/>
      <c r="F329" s="26"/>
      <c r="G329" s="26"/>
      <c r="H329" s="26"/>
      <c r="I329" s="26"/>
      <c r="J329" s="26"/>
      <c r="K329" s="26"/>
    </row>
    <row r="330" spans="1:11">
      <c r="A330" s="7" t="s">
        <v>353</v>
      </c>
      <c r="B330" s="26">
        <v>37</v>
      </c>
      <c r="C330" s="27" t="s">
        <v>457</v>
      </c>
      <c r="D330" s="27" t="s">
        <v>458</v>
      </c>
      <c r="E330" s="27" t="s">
        <v>459</v>
      </c>
      <c r="F330" s="27" t="s">
        <v>460</v>
      </c>
      <c r="G330" s="27" t="s">
        <v>461</v>
      </c>
      <c r="H330" s="27" t="s">
        <v>462</v>
      </c>
      <c r="I330" s="27" t="s">
        <v>463</v>
      </c>
      <c r="J330" s="27" t="s">
        <v>464</v>
      </c>
      <c r="K330" s="26"/>
    </row>
    <row r="331" spans="1:11">
      <c r="B331" s="1" t="s">
        <v>357</v>
      </c>
      <c r="C331" s="28" t="s">
        <v>1003</v>
      </c>
      <c r="D331" s="28" t="s">
        <v>988</v>
      </c>
      <c r="E331" s="28" t="s">
        <v>973</v>
      </c>
      <c r="F331" s="28" t="s">
        <v>958</v>
      </c>
      <c r="G331" s="28" t="s">
        <v>1004</v>
      </c>
      <c r="H331" s="28" t="s">
        <v>989</v>
      </c>
      <c r="I331" s="28" t="s">
        <v>974</v>
      </c>
      <c r="J331" s="28" t="s">
        <v>959</v>
      </c>
      <c r="K331" s="26"/>
    </row>
    <row r="332" spans="1:11">
      <c r="C332" s="17" t="s">
        <v>474</v>
      </c>
      <c r="D332" s="17" t="s">
        <v>464</v>
      </c>
      <c r="E332" s="17" t="s">
        <v>475</v>
      </c>
      <c r="F332" s="17" t="s">
        <v>476</v>
      </c>
      <c r="G332" s="17" t="s">
        <v>477</v>
      </c>
      <c r="H332" s="17" t="s">
        <v>478</v>
      </c>
      <c r="I332" s="17" t="s">
        <v>479</v>
      </c>
      <c r="J332" s="17" t="s">
        <v>480</v>
      </c>
      <c r="K332" s="17" t="s">
        <v>481</v>
      </c>
    </row>
    <row r="333" spans="1:11">
      <c r="C333" s="17" t="s">
        <v>1005</v>
      </c>
      <c r="D333" s="17" t="s">
        <v>959</v>
      </c>
      <c r="E333" s="17" t="s">
        <v>1006</v>
      </c>
      <c r="F333" s="17" t="s">
        <v>1007</v>
      </c>
      <c r="G333" s="17" t="s">
        <v>220</v>
      </c>
      <c r="H333" s="17" t="s">
        <v>1008</v>
      </c>
      <c r="I333" s="17" t="s">
        <v>1009</v>
      </c>
      <c r="J333" s="17" t="s">
        <v>1010</v>
      </c>
      <c r="K333" s="17" t="s">
        <v>1011</v>
      </c>
    </row>
    <row r="334" spans="1:11">
      <c r="C334" s="17" t="s">
        <v>485</v>
      </c>
      <c r="D334" s="17" t="s">
        <v>486</v>
      </c>
      <c r="E334" s="17" t="s">
        <v>487</v>
      </c>
      <c r="F334" s="17" t="s">
        <v>488</v>
      </c>
      <c r="G334" s="17" t="s">
        <v>489</v>
      </c>
      <c r="H334" s="17" t="s">
        <v>490</v>
      </c>
      <c r="I334" s="26"/>
      <c r="J334" s="26"/>
      <c r="K334" s="26"/>
    </row>
    <row r="335" spans="1:11">
      <c r="C335" s="33" t="s">
        <v>1012</v>
      </c>
      <c r="D335" s="33" t="s">
        <v>1013</v>
      </c>
      <c r="E335" s="33" t="s">
        <v>1014</v>
      </c>
      <c r="F335" s="33" t="s">
        <v>1015</v>
      </c>
      <c r="G335" s="33" t="s">
        <v>1016</v>
      </c>
      <c r="H335" s="33" t="s">
        <v>1017</v>
      </c>
      <c r="I335" s="26"/>
      <c r="J335" s="26"/>
      <c r="K335" s="26"/>
    </row>
    <row r="336" spans="1:11">
      <c r="C336" s="17" t="s">
        <v>491</v>
      </c>
      <c r="D336" s="17" t="s">
        <v>492</v>
      </c>
      <c r="E336" s="17" t="s">
        <v>493</v>
      </c>
      <c r="F336" s="17" t="s">
        <v>494</v>
      </c>
      <c r="G336" s="17" t="s">
        <v>495</v>
      </c>
      <c r="H336" s="17" t="s">
        <v>496</v>
      </c>
      <c r="I336" s="17" t="s">
        <v>497</v>
      </c>
      <c r="J336" s="17" t="s">
        <v>498</v>
      </c>
      <c r="K336" s="26"/>
    </row>
    <row r="337" spans="1:11">
      <c r="B337" s="1" t="s">
        <v>358</v>
      </c>
      <c r="C337" s="29" t="s">
        <v>1018</v>
      </c>
      <c r="D337" s="29" t="s">
        <v>1003</v>
      </c>
      <c r="E337" s="29" t="s">
        <v>988</v>
      </c>
      <c r="F337" s="29" t="s">
        <v>973</v>
      </c>
      <c r="G337" s="29" t="s">
        <v>1019</v>
      </c>
      <c r="H337" s="29" t="s">
        <v>1004</v>
      </c>
      <c r="I337" s="29" t="s">
        <v>989</v>
      </c>
      <c r="J337" s="29" t="s">
        <v>974</v>
      </c>
      <c r="K337" s="26"/>
    </row>
    <row r="338" spans="1:11">
      <c r="B338" s="1"/>
      <c r="C338" s="26"/>
      <c r="D338" s="26"/>
      <c r="E338" s="26"/>
      <c r="F338" s="26"/>
      <c r="G338" s="26"/>
      <c r="H338" s="26"/>
      <c r="I338" s="26"/>
      <c r="J338" s="26"/>
      <c r="K338" s="26"/>
    </row>
    <row r="339" spans="1:11">
      <c r="A339" s="7" t="s">
        <v>356</v>
      </c>
      <c r="B339" s="26">
        <v>38</v>
      </c>
      <c r="C339" s="27" t="s">
        <v>457</v>
      </c>
      <c r="D339" s="27" t="s">
        <v>458</v>
      </c>
      <c r="E339" s="27" t="s">
        <v>459</v>
      </c>
      <c r="F339" s="27" t="s">
        <v>460</v>
      </c>
      <c r="G339" s="27" t="s">
        <v>461</v>
      </c>
      <c r="H339" s="27" t="s">
        <v>462</v>
      </c>
      <c r="I339" s="27" t="s">
        <v>463</v>
      </c>
      <c r="J339" s="27" t="s">
        <v>464</v>
      </c>
      <c r="K339" s="26"/>
    </row>
    <row r="340" spans="1:11">
      <c r="B340" s="1" t="s">
        <v>360</v>
      </c>
      <c r="C340" s="28" t="s">
        <v>1018</v>
      </c>
      <c r="D340" s="28" t="s">
        <v>1003</v>
      </c>
      <c r="E340" s="28" t="s">
        <v>988</v>
      </c>
      <c r="F340" s="28" t="s">
        <v>973</v>
      </c>
      <c r="G340" s="28" t="s">
        <v>1020</v>
      </c>
      <c r="H340" s="28" t="s">
        <v>1004</v>
      </c>
      <c r="I340" s="28" t="s">
        <v>989</v>
      </c>
      <c r="J340" s="28" t="s">
        <v>974</v>
      </c>
      <c r="K340" s="26"/>
    </row>
    <row r="341" spans="1:11">
      <c r="C341" s="17" t="s">
        <v>474</v>
      </c>
      <c r="D341" s="17" t="s">
        <v>464</v>
      </c>
      <c r="E341" s="17" t="s">
        <v>475</v>
      </c>
      <c r="F341" s="17" t="s">
        <v>476</v>
      </c>
      <c r="G341" s="17" t="s">
        <v>477</v>
      </c>
      <c r="H341" s="17" t="s">
        <v>478</v>
      </c>
      <c r="I341" s="17" t="s">
        <v>479</v>
      </c>
      <c r="J341" s="17" t="s">
        <v>480</v>
      </c>
      <c r="K341" s="17" t="s">
        <v>481</v>
      </c>
    </row>
    <row r="342" spans="1:11">
      <c r="C342" s="17" t="s">
        <v>1021</v>
      </c>
      <c r="D342" s="17" t="s">
        <v>974</v>
      </c>
      <c r="E342" s="17" t="s">
        <v>1022</v>
      </c>
      <c r="F342" s="17" t="s">
        <v>1023</v>
      </c>
      <c r="G342" s="17" t="s">
        <v>221</v>
      </c>
      <c r="H342" s="17" t="s">
        <v>1024</v>
      </c>
      <c r="I342" s="17" t="s">
        <v>1025</v>
      </c>
      <c r="J342" s="17" t="s">
        <v>1026</v>
      </c>
      <c r="K342" s="17" t="s">
        <v>1027</v>
      </c>
    </row>
    <row r="343" spans="1:11">
      <c r="C343" s="17" t="s">
        <v>485</v>
      </c>
      <c r="D343" s="17" t="s">
        <v>486</v>
      </c>
      <c r="E343" s="17" t="s">
        <v>487</v>
      </c>
      <c r="F343" s="17" t="s">
        <v>488</v>
      </c>
      <c r="G343" s="17" t="s">
        <v>489</v>
      </c>
      <c r="H343" s="17" t="s">
        <v>490</v>
      </c>
      <c r="I343" s="26"/>
      <c r="J343" s="26"/>
      <c r="K343" s="26"/>
    </row>
    <row r="344" spans="1:11">
      <c r="C344" s="33" t="s">
        <v>1028</v>
      </c>
      <c r="D344" s="33" t="s">
        <v>1029</v>
      </c>
      <c r="E344" s="33" t="s">
        <v>1030</v>
      </c>
      <c r="F344" s="33" t="s">
        <v>1031</v>
      </c>
      <c r="G344" s="33" t="s">
        <v>1032</v>
      </c>
      <c r="H344" s="33" t="s">
        <v>1033</v>
      </c>
      <c r="I344" s="26"/>
      <c r="J344" s="26"/>
      <c r="K344" s="26"/>
    </row>
    <row r="345" spans="1:11">
      <c r="C345" s="17" t="s">
        <v>491</v>
      </c>
      <c r="D345" s="17" t="s">
        <v>492</v>
      </c>
      <c r="E345" s="17" t="s">
        <v>493</v>
      </c>
      <c r="F345" s="17" t="s">
        <v>494</v>
      </c>
      <c r="G345" s="17" t="s">
        <v>495</v>
      </c>
      <c r="H345" s="17" t="s">
        <v>496</v>
      </c>
      <c r="I345" s="17" t="s">
        <v>497</v>
      </c>
      <c r="J345" s="17" t="s">
        <v>498</v>
      </c>
      <c r="K345" s="26"/>
    </row>
    <row r="346" spans="1:11">
      <c r="B346" s="1" t="s">
        <v>361</v>
      </c>
      <c r="C346" s="29" t="s">
        <v>1034</v>
      </c>
      <c r="D346" s="29" t="s">
        <v>1018</v>
      </c>
      <c r="E346" s="29" t="s">
        <v>1003</v>
      </c>
      <c r="F346" s="29" t="s">
        <v>988</v>
      </c>
      <c r="G346" s="29" t="s">
        <v>1035</v>
      </c>
      <c r="H346" s="29" t="s">
        <v>1020</v>
      </c>
      <c r="I346" s="29" t="s">
        <v>1004</v>
      </c>
      <c r="J346" s="29" t="s">
        <v>989</v>
      </c>
      <c r="K346" s="26"/>
    </row>
    <row r="347" spans="1:11">
      <c r="B347" s="1"/>
      <c r="C347" s="26"/>
      <c r="D347" s="26"/>
      <c r="E347" s="26"/>
      <c r="F347" s="26"/>
      <c r="G347" s="26"/>
      <c r="H347" s="26"/>
      <c r="I347" s="26"/>
      <c r="J347" s="26"/>
      <c r="K347" s="26"/>
    </row>
    <row r="348" spans="1:11">
      <c r="A348" s="7" t="s">
        <v>359</v>
      </c>
      <c r="B348" s="26">
        <v>39</v>
      </c>
      <c r="C348" s="27" t="s">
        <v>457</v>
      </c>
      <c r="D348" s="27" t="s">
        <v>458</v>
      </c>
      <c r="E348" s="27" t="s">
        <v>459</v>
      </c>
      <c r="F348" s="27" t="s">
        <v>460</v>
      </c>
      <c r="G348" s="27" t="s">
        <v>461</v>
      </c>
      <c r="H348" s="27" t="s">
        <v>462</v>
      </c>
      <c r="I348" s="27" t="s">
        <v>463</v>
      </c>
      <c r="J348" s="27" t="s">
        <v>464</v>
      </c>
      <c r="K348" s="26"/>
    </row>
    <row r="349" spans="1:11">
      <c r="B349" s="1" t="s">
        <v>363</v>
      </c>
      <c r="C349" s="28" t="s">
        <v>1034</v>
      </c>
      <c r="D349" s="28" t="s">
        <v>1018</v>
      </c>
      <c r="E349" s="28" t="s">
        <v>1003</v>
      </c>
      <c r="F349" s="28" t="s">
        <v>988</v>
      </c>
      <c r="G349" s="28" t="s">
        <v>1035</v>
      </c>
      <c r="H349" s="28" t="s">
        <v>1020</v>
      </c>
      <c r="I349" s="28" t="s">
        <v>1004</v>
      </c>
      <c r="J349" s="28" t="s">
        <v>989</v>
      </c>
      <c r="K349" s="26"/>
    </row>
    <row r="350" spans="1:11">
      <c r="C350" s="17" t="s">
        <v>474</v>
      </c>
      <c r="D350" s="17" t="s">
        <v>464</v>
      </c>
      <c r="E350" s="17" t="s">
        <v>475</v>
      </c>
      <c r="F350" s="17" t="s">
        <v>476</v>
      </c>
      <c r="G350" s="17" t="s">
        <v>477</v>
      </c>
      <c r="H350" s="17" t="s">
        <v>478</v>
      </c>
      <c r="I350" s="17" t="s">
        <v>479</v>
      </c>
      <c r="J350" s="17" t="s">
        <v>480</v>
      </c>
      <c r="K350" s="17" t="s">
        <v>481</v>
      </c>
    </row>
    <row r="351" spans="1:11">
      <c r="C351" s="17" t="s">
        <v>1036</v>
      </c>
      <c r="D351" s="17" t="s">
        <v>989</v>
      </c>
      <c r="E351" s="17" t="s">
        <v>1037</v>
      </c>
      <c r="F351" s="17" t="s">
        <v>1038</v>
      </c>
      <c r="G351" s="17" t="s">
        <v>222</v>
      </c>
      <c r="H351" s="17" t="s">
        <v>1039</v>
      </c>
      <c r="I351" s="17" t="s">
        <v>1040</v>
      </c>
      <c r="J351" s="17" t="s">
        <v>1041</v>
      </c>
      <c r="K351" s="17" t="s">
        <v>1042</v>
      </c>
    </row>
    <row r="352" spans="1:11">
      <c r="C352" s="17" t="s">
        <v>485</v>
      </c>
      <c r="D352" s="17" t="s">
        <v>486</v>
      </c>
      <c r="E352" s="17" t="s">
        <v>487</v>
      </c>
      <c r="F352" s="17" t="s">
        <v>488</v>
      </c>
      <c r="G352" s="17" t="s">
        <v>489</v>
      </c>
      <c r="H352" s="17" t="s">
        <v>490</v>
      </c>
      <c r="I352" s="26"/>
      <c r="J352" s="26"/>
      <c r="K352" s="26"/>
    </row>
    <row r="353" spans="1:11">
      <c r="C353" s="33" t="s">
        <v>1043</v>
      </c>
      <c r="D353" s="33" t="s">
        <v>1044</v>
      </c>
      <c r="E353" s="33" t="s">
        <v>1045</v>
      </c>
      <c r="F353" s="33" t="s">
        <v>1046</v>
      </c>
      <c r="G353" s="33" t="s">
        <v>1047</v>
      </c>
      <c r="H353" s="33" t="s">
        <v>1048</v>
      </c>
      <c r="I353" s="26"/>
      <c r="J353" s="26"/>
      <c r="K353" s="26"/>
    </row>
    <row r="354" spans="1:11">
      <c r="C354" s="17" t="s">
        <v>491</v>
      </c>
      <c r="D354" s="17" t="s">
        <v>492</v>
      </c>
      <c r="E354" s="17" t="s">
        <v>493</v>
      </c>
      <c r="F354" s="17" t="s">
        <v>494</v>
      </c>
      <c r="G354" s="17" t="s">
        <v>495</v>
      </c>
      <c r="H354" s="17" t="s">
        <v>496</v>
      </c>
      <c r="I354" s="17" t="s">
        <v>497</v>
      </c>
      <c r="J354" s="17" t="s">
        <v>498</v>
      </c>
      <c r="K354" s="26"/>
    </row>
    <row r="355" spans="1:11">
      <c r="B355" s="1" t="s">
        <v>364</v>
      </c>
      <c r="C355" s="29" t="s">
        <v>1049</v>
      </c>
      <c r="D355" s="29" t="s">
        <v>1034</v>
      </c>
      <c r="E355" s="29" t="s">
        <v>1018</v>
      </c>
      <c r="F355" s="29" t="s">
        <v>1003</v>
      </c>
      <c r="G355" s="29" t="s">
        <v>1050</v>
      </c>
      <c r="H355" s="29" t="s">
        <v>1035</v>
      </c>
      <c r="I355" s="29" t="s">
        <v>1020</v>
      </c>
      <c r="J355" s="29" t="s">
        <v>1004</v>
      </c>
      <c r="K355" s="26"/>
    </row>
    <row r="356" spans="1:11">
      <c r="B356" s="1"/>
      <c r="C356" s="26"/>
      <c r="D356" s="26"/>
      <c r="E356" s="26"/>
      <c r="F356" s="26"/>
      <c r="G356" s="26"/>
      <c r="H356" s="26"/>
      <c r="I356" s="26"/>
      <c r="J356" s="26"/>
      <c r="K356" s="26"/>
    </row>
    <row r="357" spans="1:11">
      <c r="A357" s="7" t="s">
        <v>362</v>
      </c>
      <c r="B357" s="26">
        <v>40</v>
      </c>
      <c r="C357" s="27" t="s">
        <v>457</v>
      </c>
      <c r="D357" s="27" t="s">
        <v>458</v>
      </c>
      <c r="E357" s="27" t="s">
        <v>459</v>
      </c>
      <c r="F357" s="27" t="s">
        <v>460</v>
      </c>
      <c r="G357" s="27" t="s">
        <v>461</v>
      </c>
      <c r="H357" s="27" t="s">
        <v>462</v>
      </c>
      <c r="I357" s="27" t="s">
        <v>463</v>
      </c>
      <c r="J357" s="27" t="s">
        <v>464</v>
      </c>
      <c r="K357" s="26"/>
    </row>
    <row r="358" spans="1:11">
      <c r="B358" s="1" t="s">
        <v>366</v>
      </c>
      <c r="C358" s="28" t="s">
        <v>1049</v>
      </c>
      <c r="D358" s="28" t="s">
        <v>1034</v>
      </c>
      <c r="E358" s="28" t="s">
        <v>1018</v>
      </c>
      <c r="F358" s="28" t="s">
        <v>1003</v>
      </c>
      <c r="G358" s="28" t="s">
        <v>1050</v>
      </c>
      <c r="H358" s="28" t="s">
        <v>1035</v>
      </c>
      <c r="I358" s="28" t="s">
        <v>1020</v>
      </c>
      <c r="J358" s="28" t="s">
        <v>1004</v>
      </c>
      <c r="K358" s="26"/>
    </row>
    <row r="359" spans="1:11">
      <c r="C359" s="17" t="s">
        <v>474</v>
      </c>
      <c r="D359" s="17" t="s">
        <v>464</v>
      </c>
      <c r="E359" s="17" t="s">
        <v>475</v>
      </c>
      <c r="F359" s="17" t="s">
        <v>476</v>
      </c>
      <c r="G359" s="17" t="s">
        <v>477</v>
      </c>
      <c r="H359" s="17" t="s">
        <v>478</v>
      </c>
      <c r="I359" s="17" t="s">
        <v>479</v>
      </c>
      <c r="J359" s="17" t="s">
        <v>480</v>
      </c>
      <c r="K359" s="17" t="s">
        <v>481</v>
      </c>
    </row>
    <row r="360" spans="1:11">
      <c r="C360" s="17" t="s">
        <v>1051</v>
      </c>
      <c r="D360" s="17" t="s">
        <v>1004</v>
      </c>
      <c r="E360" s="17" t="s">
        <v>1052</v>
      </c>
      <c r="F360" s="17" t="s">
        <v>1053</v>
      </c>
      <c r="G360" s="17" t="s">
        <v>223</v>
      </c>
      <c r="H360" s="17" t="s">
        <v>1054</v>
      </c>
      <c r="I360" s="17" t="s">
        <v>1055</v>
      </c>
      <c r="J360" s="17" t="s">
        <v>1056</v>
      </c>
      <c r="K360" s="17" t="s">
        <v>1057</v>
      </c>
    </row>
    <row r="361" spans="1:11">
      <c r="C361" s="17" t="s">
        <v>485</v>
      </c>
      <c r="D361" s="17" t="s">
        <v>486</v>
      </c>
      <c r="E361" s="17" t="s">
        <v>487</v>
      </c>
      <c r="F361" s="17" t="s">
        <v>488</v>
      </c>
      <c r="G361" s="17" t="s">
        <v>489</v>
      </c>
      <c r="H361" s="17" t="s">
        <v>490</v>
      </c>
      <c r="I361" s="26"/>
      <c r="J361" s="26"/>
      <c r="K361" s="26"/>
    </row>
    <row r="362" spans="1:11">
      <c r="C362" s="33" t="s">
        <v>1058</v>
      </c>
      <c r="D362" s="33" t="s">
        <v>1059</v>
      </c>
      <c r="E362" s="33" t="s">
        <v>1060</v>
      </c>
      <c r="F362" s="33" t="s">
        <v>1061</v>
      </c>
      <c r="G362" s="33" t="s">
        <v>1062</v>
      </c>
      <c r="H362" s="33" t="s">
        <v>1063</v>
      </c>
      <c r="I362" s="26"/>
      <c r="J362" s="26"/>
      <c r="K362" s="26"/>
    </row>
    <row r="363" spans="1:11">
      <c r="C363" s="17" t="s">
        <v>491</v>
      </c>
      <c r="D363" s="17" t="s">
        <v>492</v>
      </c>
      <c r="E363" s="17" t="s">
        <v>493</v>
      </c>
      <c r="F363" s="17" t="s">
        <v>494</v>
      </c>
      <c r="G363" s="17" t="s">
        <v>495</v>
      </c>
      <c r="H363" s="17" t="s">
        <v>496</v>
      </c>
      <c r="I363" s="17" t="s">
        <v>497</v>
      </c>
      <c r="J363" s="17" t="s">
        <v>498</v>
      </c>
      <c r="K363" s="26"/>
    </row>
    <row r="364" spans="1:11">
      <c r="B364" s="1" t="s">
        <v>367</v>
      </c>
      <c r="C364" s="29" t="s">
        <v>1064</v>
      </c>
      <c r="D364" s="29" t="s">
        <v>1049</v>
      </c>
      <c r="E364" s="29" t="s">
        <v>1034</v>
      </c>
      <c r="F364" s="29" t="s">
        <v>1018</v>
      </c>
      <c r="G364" s="29" t="s">
        <v>1065</v>
      </c>
      <c r="H364" s="29" t="s">
        <v>1050</v>
      </c>
      <c r="I364" s="29" t="s">
        <v>1035</v>
      </c>
      <c r="J364" s="29" t="s">
        <v>1020</v>
      </c>
      <c r="K364" s="26"/>
    </row>
    <row r="365" spans="1:11">
      <c r="B365" s="1"/>
      <c r="C365" s="26"/>
      <c r="D365" s="26"/>
      <c r="E365" s="26"/>
      <c r="F365" s="26"/>
      <c r="G365" s="26"/>
      <c r="H365" s="26"/>
      <c r="I365" s="26"/>
      <c r="J365" s="26"/>
      <c r="K365" s="26"/>
    </row>
    <row r="366" spans="1:11">
      <c r="A366" s="7" t="s">
        <v>365</v>
      </c>
      <c r="B366" s="26">
        <v>41</v>
      </c>
      <c r="C366" s="27" t="s">
        <v>457</v>
      </c>
      <c r="D366" s="27" t="s">
        <v>458</v>
      </c>
      <c r="E366" s="27" t="s">
        <v>459</v>
      </c>
      <c r="F366" s="27" t="s">
        <v>460</v>
      </c>
      <c r="G366" s="27" t="s">
        <v>461</v>
      </c>
      <c r="H366" s="27" t="s">
        <v>462</v>
      </c>
      <c r="I366" s="27" t="s">
        <v>463</v>
      </c>
      <c r="J366" s="27" t="s">
        <v>464</v>
      </c>
      <c r="K366" s="26"/>
    </row>
    <row r="367" spans="1:11">
      <c r="B367" s="1" t="s">
        <v>369</v>
      </c>
      <c r="C367" s="28" t="s">
        <v>1066</v>
      </c>
      <c r="D367" s="28" t="s">
        <v>1049</v>
      </c>
      <c r="E367" s="28" t="s">
        <v>1034</v>
      </c>
      <c r="F367" s="28" t="s">
        <v>1018</v>
      </c>
      <c r="G367" s="28" t="s">
        <v>1065</v>
      </c>
      <c r="H367" s="28" t="s">
        <v>1050</v>
      </c>
      <c r="I367" s="28" t="s">
        <v>1035</v>
      </c>
      <c r="J367" s="28" t="s">
        <v>1020</v>
      </c>
      <c r="K367" s="26"/>
    </row>
    <row r="368" spans="1:11">
      <c r="C368" s="17" t="s">
        <v>474</v>
      </c>
      <c r="D368" s="17" t="s">
        <v>464</v>
      </c>
      <c r="E368" s="17" t="s">
        <v>475</v>
      </c>
      <c r="F368" s="17" t="s">
        <v>476</v>
      </c>
      <c r="G368" s="17" t="s">
        <v>477</v>
      </c>
      <c r="H368" s="17" t="s">
        <v>478</v>
      </c>
      <c r="I368" s="17" t="s">
        <v>479</v>
      </c>
      <c r="J368" s="17" t="s">
        <v>480</v>
      </c>
      <c r="K368" s="17" t="s">
        <v>481</v>
      </c>
    </row>
    <row r="369" spans="1:11">
      <c r="C369" s="17" t="s">
        <v>1067</v>
      </c>
      <c r="D369" s="17" t="s">
        <v>1020</v>
      </c>
      <c r="E369" s="17" t="s">
        <v>1068</v>
      </c>
      <c r="F369" s="17" t="s">
        <v>1069</v>
      </c>
      <c r="G369" s="17" t="s">
        <v>224</v>
      </c>
      <c r="H369" s="17" t="s">
        <v>1070</v>
      </c>
      <c r="I369" s="17" t="s">
        <v>1071</v>
      </c>
      <c r="J369" s="17" t="s">
        <v>1072</v>
      </c>
      <c r="K369" s="17" t="s">
        <v>1073</v>
      </c>
    </row>
    <row r="370" spans="1:11">
      <c r="C370" s="17" t="s">
        <v>485</v>
      </c>
      <c r="D370" s="17" t="s">
        <v>486</v>
      </c>
      <c r="E370" s="17" t="s">
        <v>487</v>
      </c>
      <c r="F370" s="17" t="s">
        <v>488</v>
      </c>
      <c r="G370" s="17" t="s">
        <v>489</v>
      </c>
      <c r="H370" s="17" t="s">
        <v>490</v>
      </c>
      <c r="I370" s="26"/>
      <c r="J370" s="26"/>
      <c r="K370" s="26"/>
    </row>
    <row r="371" spans="1:11">
      <c r="C371" s="33" t="s">
        <v>1074</v>
      </c>
      <c r="D371" s="33" t="s">
        <v>1075</v>
      </c>
      <c r="E371" s="33" t="s">
        <v>1076</v>
      </c>
      <c r="F371" s="33" t="s">
        <v>1077</v>
      </c>
      <c r="G371" s="33" t="s">
        <v>1078</v>
      </c>
      <c r="H371" s="33" t="s">
        <v>1079</v>
      </c>
      <c r="I371" s="26"/>
      <c r="J371" s="26"/>
      <c r="K371" s="26"/>
    </row>
    <row r="372" spans="1:11">
      <c r="C372" s="17" t="s">
        <v>491</v>
      </c>
      <c r="D372" s="17" t="s">
        <v>492</v>
      </c>
      <c r="E372" s="17" t="s">
        <v>493</v>
      </c>
      <c r="F372" s="17" t="s">
        <v>494</v>
      </c>
      <c r="G372" s="17" t="s">
        <v>495</v>
      </c>
      <c r="H372" s="17" t="s">
        <v>496</v>
      </c>
      <c r="I372" s="17" t="s">
        <v>497</v>
      </c>
      <c r="J372" s="17" t="s">
        <v>498</v>
      </c>
      <c r="K372" s="26"/>
    </row>
    <row r="373" spans="1:11">
      <c r="B373" s="1" t="s">
        <v>370</v>
      </c>
      <c r="C373" s="29" t="s">
        <v>1080</v>
      </c>
      <c r="D373" s="29" t="s">
        <v>1066</v>
      </c>
      <c r="E373" s="29" t="s">
        <v>1049</v>
      </c>
      <c r="F373" s="29" t="s">
        <v>1034</v>
      </c>
      <c r="G373" s="29" t="s">
        <v>1081</v>
      </c>
      <c r="H373" s="29" t="s">
        <v>1065</v>
      </c>
      <c r="I373" s="29" t="s">
        <v>1050</v>
      </c>
      <c r="J373" s="29" t="s">
        <v>1035</v>
      </c>
      <c r="K373" s="26"/>
    </row>
    <row r="374" spans="1:11">
      <c r="B374" s="1"/>
      <c r="C374" s="26"/>
      <c r="D374" s="26"/>
      <c r="E374" s="26"/>
      <c r="F374" s="26"/>
      <c r="G374" s="26"/>
      <c r="H374" s="26"/>
      <c r="I374" s="26"/>
      <c r="J374" s="26"/>
      <c r="K374" s="26"/>
    </row>
    <row r="375" spans="1:11">
      <c r="A375" s="7" t="s">
        <v>368</v>
      </c>
      <c r="B375" s="26">
        <v>42</v>
      </c>
      <c r="C375" s="27" t="s">
        <v>457</v>
      </c>
      <c r="D375" s="27" t="s">
        <v>458</v>
      </c>
      <c r="E375" s="27" t="s">
        <v>459</v>
      </c>
      <c r="F375" s="27" t="s">
        <v>460</v>
      </c>
      <c r="G375" s="27" t="s">
        <v>461</v>
      </c>
      <c r="H375" s="27" t="s">
        <v>462</v>
      </c>
      <c r="I375" s="27" t="s">
        <v>463</v>
      </c>
      <c r="J375" s="27" t="s">
        <v>464</v>
      </c>
      <c r="K375" s="26"/>
    </row>
    <row r="376" spans="1:11">
      <c r="B376" s="1" t="s">
        <v>372</v>
      </c>
      <c r="C376" s="28" t="s">
        <v>1080</v>
      </c>
      <c r="D376" s="28" t="s">
        <v>1066</v>
      </c>
      <c r="E376" s="28" t="s">
        <v>1049</v>
      </c>
      <c r="F376" s="28" t="s">
        <v>1034</v>
      </c>
      <c r="G376" s="28" t="s">
        <v>1081</v>
      </c>
      <c r="H376" s="28" t="s">
        <v>1065</v>
      </c>
      <c r="I376" s="28" t="s">
        <v>1050</v>
      </c>
      <c r="J376" s="28" t="s">
        <v>1035</v>
      </c>
      <c r="K376" s="26"/>
    </row>
    <row r="377" spans="1:11">
      <c r="C377" s="17" t="s">
        <v>474</v>
      </c>
      <c r="D377" s="17" t="s">
        <v>464</v>
      </c>
      <c r="E377" s="17" t="s">
        <v>475</v>
      </c>
      <c r="F377" s="17" t="s">
        <v>476</v>
      </c>
      <c r="G377" s="17" t="s">
        <v>477</v>
      </c>
      <c r="H377" s="17" t="s">
        <v>478</v>
      </c>
      <c r="I377" s="17" t="s">
        <v>479</v>
      </c>
      <c r="J377" s="17" t="s">
        <v>480</v>
      </c>
      <c r="K377" s="17" t="s">
        <v>481</v>
      </c>
    </row>
    <row r="378" spans="1:11">
      <c r="C378" s="17" t="s">
        <v>1082</v>
      </c>
      <c r="D378" s="17" t="s">
        <v>1035</v>
      </c>
      <c r="E378" s="17" t="s">
        <v>1083</v>
      </c>
      <c r="F378" s="17" t="s">
        <v>1084</v>
      </c>
      <c r="G378" s="17" t="s">
        <v>225</v>
      </c>
      <c r="H378" s="17" t="s">
        <v>1085</v>
      </c>
      <c r="I378" s="17" t="s">
        <v>1086</v>
      </c>
      <c r="J378" s="17" t="s">
        <v>1087</v>
      </c>
      <c r="K378" s="17" t="s">
        <v>1088</v>
      </c>
    </row>
    <row r="379" spans="1:11">
      <c r="C379" s="17" t="s">
        <v>485</v>
      </c>
      <c r="D379" s="17" t="s">
        <v>486</v>
      </c>
      <c r="E379" s="17" t="s">
        <v>487</v>
      </c>
      <c r="F379" s="17" t="s">
        <v>488</v>
      </c>
      <c r="G379" s="17" t="s">
        <v>489</v>
      </c>
      <c r="H379" s="17" t="s">
        <v>490</v>
      </c>
      <c r="I379" s="26"/>
      <c r="J379" s="26"/>
      <c r="K379" s="26"/>
    </row>
    <row r="380" spans="1:11">
      <c r="C380" s="33" t="s">
        <v>1089</v>
      </c>
      <c r="D380" s="33" t="s">
        <v>1090</v>
      </c>
      <c r="E380" s="33" t="s">
        <v>1091</v>
      </c>
      <c r="F380" s="33" t="s">
        <v>1092</v>
      </c>
      <c r="G380" s="33" t="s">
        <v>1093</v>
      </c>
      <c r="H380" s="33" t="s">
        <v>1094</v>
      </c>
      <c r="I380" s="26"/>
      <c r="J380" s="26"/>
      <c r="K380" s="26"/>
    </row>
    <row r="381" spans="1:11">
      <c r="C381" s="17" t="s">
        <v>491</v>
      </c>
      <c r="D381" s="17" t="s">
        <v>492</v>
      </c>
      <c r="E381" s="17" t="s">
        <v>493</v>
      </c>
      <c r="F381" s="17" t="s">
        <v>494</v>
      </c>
      <c r="G381" s="17" t="s">
        <v>495</v>
      </c>
      <c r="H381" s="17" t="s">
        <v>496</v>
      </c>
      <c r="I381" s="17" t="s">
        <v>497</v>
      </c>
      <c r="J381" s="17" t="s">
        <v>498</v>
      </c>
      <c r="K381" s="26"/>
    </row>
    <row r="382" spans="1:11">
      <c r="B382" s="1" t="s">
        <v>373</v>
      </c>
      <c r="C382" s="29" t="s">
        <v>1095</v>
      </c>
      <c r="D382" s="29" t="s">
        <v>1080</v>
      </c>
      <c r="E382" s="29" t="s">
        <v>1066</v>
      </c>
      <c r="F382" s="29" t="s">
        <v>1049</v>
      </c>
      <c r="G382" s="29" t="s">
        <v>1096</v>
      </c>
      <c r="H382" s="29" t="s">
        <v>1081</v>
      </c>
      <c r="I382" s="29" t="s">
        <v>1065</v>
      </c>
      <c r="J382" s="29" t="s">
        <v>1050</v>
      </c>
      <c r="K382" s="26"/>
    </row>
    <row r="383" spans="1:11">
      <c r="B383" s="1"/>
      <c r="C383" s="26"/>
      <c r="D383" s="26"/>
      <c r="E383" s="26"/>
      <c r="F383" s="26"/>
      <c r="G383" s="26"/>
      <c r="H383" s="26"/>
      <c r="I383" s="26"/>
      <c r="J383" s="26"/>
      <c r="K383" s="26"/>
    </row>
    <row r="384" spans="1:11">
      <c r="A384" s="7" t="s">
        <v>371</v>
      </c>
      <c r="B384" s="26">
        <v>43</v>
      </c>
      <c r="C384" s="27" t="s">
        <v>457</v>
      </c>
      <c r="D384" s="27" t="s">
        <v>458</v>
      </c>
      <c r="E384" s="27" t="s">
        <v>459</v>
      </c>
      <c r="F384" s="27" t="s">
        <v>460</v>
      </c>
      <c r="G384" s="27" t="s">
        <v>461</v>
      </c>
      <c r="H384" s="27" t="s">
        <v>462</v>
      </c>
      <c r="I384" s="27" t="s">
        <v>463</v>
      </c>
      <c r="J384" s="27" t="s">
        <v>464</v>
      </c>
      <c r="K384" s="26"/>
    </row>
    <row r="385" spans="1:11">
      <c r="B385" s="1" t="s">
        <v>375</v>
      </c>
      <c r="C385" s="28" t="s">
        <v>1095</v>
      </c>
      <c r="D385" s="28" t="s">
        <v>1080</v>
      </c>
      <c r="E385" s="28" t="s">
        <v>1066</v>
      </c>
      <c r="F385" s="28" t="s">
        <v>1049</v>
      </c>
      <c r="G385" s="28" t="s">
        <v>1096</v>
      </c>
      <c r="H385" s="28" t="s">
        <v>1081</v>
      </c>
      <c r="I385" s="28" t="s">
        <v>1065</v>
      </c>
      <c r="J385" s="28" t="s">
        <v>1050</v>
      </c>
      <c r="K385" s="26"/>
    </row>
    <row r="386" spans="1:11">
      <c r="C386" s="17" t="s">
        <v>474</v>
      </c>
      <c r="D386" s="17" t="s">
        <v>464</v>
      </c>
      <c r="E386" s="17" t="s">
        <v>475</v>
      </c>
      <c r="F386" s="17" t="s">
        <v>476</v>
      </c>
      <c r="G386" s="17" t="s">
        <v>477</v>
      </c>
      <c r="H386" s="17" t="s">
        <v>478</v>
      </c>
      <c r="I386" s="17" t="s">
        <v>479</v>
      </c>
      <c r="J386" s="17" t="s">
        <v>480</v>
      </c>
      <c r="K386" s="17" t="s">
        <v>481</v>
      </c>
    </row>
    <row r="387" spans="1:11">
      <c r="C387" s="17" t="s">
        <v>1097</v>
      </c>
      <c r="D387" s="17" t="s">
        <v>1050</v>
      </c>
      <c r="E387" s="17" t="s">
        <v>1098</v>
      </c>
      <c r="F387" s="17" t="s">
        <v>1099</v>
      </c>
      <c r="G387" s="17" t="s">
        <v>226</v>
      </c>
      <c r="H387" s="17" t="s">
        <v>1100</v>
      </c>
      <c r="I387" s="17" t="s">
        <v>1101</v>
      </c>
      <c r="J387" s="17" t="s">
        <v>1102</v>
      </c>
      <c r="K387" s="17" t="s">
        <v>1103</v>
      </c>
    </row>
    <row r="388" spans="1:11">
      <c r="C388" s="17" t="s">
        <v>485</v>
      </c>
      <c r="D388" s="17" t="s">
        <v>486</v>
      </c>
      <c r="E388" s="17" t="s">
        <v>487</v>
      </c>
      <c r="F388" s="17" t="s">
        <v>488</v>
      </c>
      <c r="G388" s="17" t="s">
        <v>489</v>
      </c>
      <c r="H388" s="17" t="s">
        <v>490</v>
      </c>
      <c r="I388" s="26"/>
      <c r="J388" s="26"/>
      <c r="K388" s="26"/>
    </row>
    <row r="389" spans="1:11">
      <c r="C389" s="33" t="s">
        <v>1104</v>
      </c>
      <c r="D389" s="33" t="s">
        <v>1105</v>
      </c>
      <c r="E389" s="33" t="s">
        <v>1106</v>
      </c>
      <c r="F389" s="33" t="s">
        <v>1107</v>
      </c>
      <c r="G389" s="33" t="s">
        <v>1108</v>
      </c>
      <c r="H389" s="33" t="s">
        <v>1109</v>
      </c>
      <c r="I389" s="26"/>
      <c r="J389" s="26"/>
      <c r="K389" s="26"/>
    </row>
    <row r="390" spans="1:11">
      <c r="C390" s="17" t="s">
        <v>491</v>
      </c>
      <c r="D390" s="17" t="s">
        <v>492</v>
      </c>
      <c r="E390" s="17" t="s">
        <v>493</v>
      </c>
      <c r="F390" s="17" t="s">
        <v>494</v>
      </c>
      <c r="G390" s="17" t="s">
        <v>495</v>
      </c>
      <c r="H390" s="17" t="s">
        <v>496</v>
      </c>
      <c r="I390" s="17" t="s">
        <v>497</v>
      </c>
      <c r="J390" s="17" t="s">
        <v>498</v>
      </c>
      <c r="K390" s="26"/>
    </row>
    <row r="391" spans="1:11">
      <c r="B391" s="1" t="s">
        <v>376</v>
      </c>
      <c r="C391" s="29" t="s">
        <v>1110</v>
      </c>
      <c r="D391" s="29" t="s">
        <v>1095</v>
      </c>
      <c r="E391" s="29" t="s">
        <v>1080</v>
      </c>
      <c r="F391" s="29" t="s">
        <v>1066</v>
      </c>
      <c r="G391" s="29" t="s">
        <v>1111</v>
      </c>
      <c r="H391" s="29" t="s">
        <v>1096</v>
      </c>
      <c r="I391" s="29" t="s">
        <v>1081</v>
      </c>
      <c r="J391" s="29" t="s">
        <v>1065</v>
      </c>
      <c r="K391" s="26"/>
    </row>
    <row r="392" spans="1:11">
      <c r="B392" s="1"/>
      <c r="C392" s="26"/>
      <c r="D392" s="26"/>
      <c r="E392" s="26"/>
      <c r="F392" s="26"/>
      <c r="G392" s="26"/>
      <c r="H392" s="26"/>
      <c r="I392" s="26"/>
      <c r="J392" s="26"/>
      <c r="K392" s="26"/>
    </row>
    <row r="393" spans="1:11">
      <c r="A393" s="7" t="s">
        <v>374</v>
      </c>
      <c r="B393" s="26">
        <v>44</v>
      </c>
      <c r="C393" s="27" t="s">
        <v>457</v>
      </c>
      <c r="D393" s="27" t="s">
        <v>458</v>
      </c>
      <c r="E393" s="27" t="s">
        <v>459</v>
      </c>
      <c r="F393" s="27" t="s">
        <v>460</v>
      </c>
      <c r="G393" s="27" t="s">
        <v>461</v>
      </c>
      <c r="H393" s="27" t="s">
        <v>462</v>
      </c>
      <c r="I393" s="27" t="s">
        <v>463</v>
      </c>
      <c r="J393" s="27" t="s">
        <v>464</v>
      </c>
      <c r="K393" s="26"/>
    </row>
    <row r="394" spans="1:11">
      <c r="B394" s="1" t="s">
        <v>378</v>
      </c>
      <c r="C394" s="28" t="s">
        <v>1110</v>
      </c>
      <c r="D394" s="28" t="s">
        <v>1095</v>
      </c>
      <c r="E394" s="28" t="s">
        <v>1080</v>
      </c>
      <c r="F394" s="28" t="s">
        <v>1066</v>
      </c>
      <c r="G394" s="28" t="s">
        <v>1111</v>
      </c>
      <c r="H394" s="28" t="s">
        <v>1096</v>
      </c>
      <c r="I394" s="28" t="s">
        <v>1081</v>
      </c>
      <c r="J394" s="28" t="s">
        <v>1065</v>
      </c>
      <c r="K394" s="26"/>
    </row>
    <row r="395" spans="1:11">
      <c r="C395" s="17" t="s">
        <v>474</v>
      </c>
      <c r="D395" s="17" t="s">
        <v>464</v>
      </c>
      <c r="E395" s="17" t="s">
        <v>475</v>
      </c>
      <c r="F395" s="17" t="s">
        <v>476</v>
      </c>
      <c r="G395" s="17" t="s">
        <v>477</v>
      </c>
      <c r="H395" s="17" t="s">
        <v>478</v>
      </c>
      <c r="I395" s="17" t="s">
        <v>479</v>
      </c>
      <c r="J395" s="17" t="s">
        <v>480</v>
      </c>
      <c r="K395" s="17" t="s">
        <v>481</v>
      </c>
    </row>
    <row r="396" spans="1:11">
      <c r="C396" s="17" t="s">
        <v>1112</v>
      </c>
      <c r="D396" s="17" t="s">
        <v>1065</v>
      </c>
      <c r="E396" s="17" t="s">
        <v>1113</v>
      </c>
      <c r="F396" s="17" t="s">
        <v>1114</v>
      </c>
      <c r="G396" s="17" t="s">
        <v>227</v>
      </c>
      <c r="H396" s="17" t="s">
        <v>1115</v>
      </c>
      <c r="I396" s="17" t="s">
        <v>1116</v>
      </c>
      <c r="J396" s="17" t="s">
        <v>1117</v>
      </c>
      <c r="K396" s="17" t="s">
        <v>1118</v>
      </c>
    </row>
    <row r="397" spans="1:11">
      <c r="C397" s="17" t="s">
        <v>485</v>
      </c>
      <c r="D397" s="17" t="s">
        <v>486</v>
      </c>
      <c r="E397" s="17" t="s">
        <v>487</v>
      </c>
      <c r="F397" s="17" t="s">
        <v>488</v>
      </c>
      <c r="G397" s="17" t="s">
        <v>489</v>
      </c>
      <c r="H397" s="17" t="s">
        <v>490</v>
      </c>
      <c r="I397" s="26"/>
      <c r="J397" s="26"/>
      <c r="K397" s="26"/>
    </row>
    <row r="398" spans="1:11">
      <c r="C398" s="33" t="s">
        <v>1119</v>
      </c>
      <c r="D398" s="33" t="s">
        <v>1120</v>
      </c>
      <c r="E398" s="33" t="s">
        <v>1121</v>
      </c>
      <c r="F398" s="33" t="s">
        <v>1122</v>
      </c>
      <c r="G398" s="33" t="s">
        <v>1123</v>
      </c>
      <c r="H398" s="33" t="s">
        <v>1124</v>
      </c>
      <c r="I398" s="26"/>
      <c r="J398" s="26"/>
      <c r="K398" s="26"/>
    </row>
    <row r="399" spans="1:11">
      <c r="C399" s="17" t="s">
        <v>491</v>
      </c>
      <c r="D399" s="17" t="s">
        <v>492</v>
      </c>
      <c r="E399" s="17" t="s">
        <v>493</v>
      </c>
      <c r="F399" s="17" t="s">
        <v>494</v>
      </c>
      <c r="G399" s="17" t="s">
        <v>495</v>
      </c>
      <c r="H399" s="17" t="s">
        <v>496</v>
      </c>
      <c r="I399" s="17" t="s">
        <v>497</v>
      </c>
      <c r="J399" s="17" t="s">
        <v>498</v>
      </c>
      <c r="K399" s="26"/>
    </row>
    <row r="400" spans="1:11">
      <c r="B400" s="1" t="s">
        <v>379</v>
      </c>
      <c r="C400" s="29" t="s">
        <v>1125</v>
      </c>
      <c r="D400" s="29" t="s">
        <v>1110</v>
      </c>
      <c r="E400" s="29" t="s">
        <v>1095</v>
      </c>
      <c r="F400" s="29" t="s">
        <v>1080</v>
      </c>
      <c r="G400" s="29" t="s">
        <v>1126</v>
      </c>
      <c r="H400" s="29" t="s">
        <v>1111</v>
      </c>
      <c r="I400" s="29" t="s">
        <v>1096</v>
      </c>
      <c r="J400" s="29" t="s">
        <v>1081</v>
      </c>
      <c r="K400" s="26"/>
    </row>
    <row r="401" spans="1:11">
      <c r="B401" s="1"/>
      <c r="C401" s="26"/>
      <c r="D401" s="26"/>
      <c r="E401" s="26"/>
      <c r="F401" s="26"/>
      <c r="G401" s="26"/>
      <c r="H401" s="26"/>
      <c r="I401" s="26"/>
      <c r="J401" s="26"/>
      <c r="K401" s="26"/>
    </row>
    <row r="402" spans="1:11">
      <c r="A402" s="7" t="s">
        <v>377</v>
      </c>
      <c r="B402" s="26">
        <v>45</v>
      </c>
      <c r="C402" s="27" t="s">
        <v>457</v>
      </c>
      <c r="D402" s="27" t="s">
        <v>458</v>
      </c>
      <c r="E402" s="27" t="s">
        <v>459</v>
      </c>
      <c r="F402" s="27" t="s">
        <v>460</v>
      </c>
      <c r="G402" s="27" t="s">
        <v>461</v>
      </c>
      <c r="H402" s="27" t="s">
        <v>462</v>
      </c>
      <c r="I402" s="27" t="s">
        <v>463</v>
      </c>
      <c r="J402" s="27" t="s">
        <v>464</v>
      </c>
      <c r="K402" s="26"/>
    </row>
    <row r="403" spans="1:11">
      <c r="B403" s="1" t="s">
        <v>381</v>
      </c>
      <c r="C403" s="28" t="s">
        <v>1125</v>
      </c>
      <c r="D403" s="28" t="s">
        <v>1110</v>
      </c>
      <c r="E403" s="28" t="s">
        <v>1095</v>
      </c>
      <c r="F403" s="28" t="s">
        <v>1080</v>
      </c>
      <c r="G403" s="28" t="s">
        <v>1126</v>
      </c>
      <c r="H403" s="28" t="s">
        <v>1111</v>
      </c>
      <c r="I403" s="28" t="s">
        <v>1096</v>
      </c>
      <c r="J403" s="28" t="s">
        <v>1081</v>
      </c>
      <c r="K403" s="26"/>
    </row>
    <row r="404" spans="1:11">
      <c r="C404" s="17" t="s">
        <v>474</v>
      </c>
      <c r="D404" s="17" t="s">
        <v>464</v>
      </c>
      <c r="E404" s="17" t="s">
        <v>475</v>
      </c>
      <c r="F404" s="17" t="s">
        <v>476</v>
      </c>
      <c r="G404" s="17" t="s">
        <v>477</v>
      </c>
      <c r="H404" s="17" t="s">
        <v>478</v>
      </c>
      <c r="I404" s="17" t="s">
        <v>479</v>
      </c>
      <c r="J404" s="17" t="s">
        <v>480</v>
      </c>
      <c r="K404" s="17" t="s">
        <v>481</v>
      </c>
    </row>
    <row r="405" spans="1:11">
      <c r="C405" s="17" t="s">
        <v>1127</v>
      </c>
      <c r="D405" s="17" t="s">
        <v>1081</v>
      </c>
      <c r="E405" s="17" t="s">
        <v>1128</v>
      </c>
      <c r="F405" s="17" t="s">
        <v>1129</v>
      </c>
      <c r="G405" s="17" t="s">
        <v>228</v>
      </c>
      <c r="H405" s="17" t="s">
        <v>1130</v>
      </c>
      <c r="I405" s="17" t="s">
        <v>1131</v>
      </c>
      <c r="J405" s="17" t="s">
        <v>1132</v>
      </c>
      <c r="K405" s="17" t="s">
        <v>1133</v>
      </c>
    </row>
    <row r="406" spans="1:11">
      <c r="C406" s="17" t="s">
        <v>485</v>
      </c>
      <c r="D406" s="17" t="s">
        <v>486</v>
      </c>
      <c r="E406" s="17" t="s">
        <v>487</v>
      </c>
      <c r="F406" s="17" t="s">
        <v>488</v>
      </c>
      <c r="G406" s="17" t="s">
        <v>489</v>
      </c>
      <c r="H406" s="17" t="s">
        <v>490</v>
      </c>
      <c r="I406" s="26"/>
      <c r="J406" s="26"/>
      <c r="K406" s="26"/>
    </row>
    <row r="407" spans="1:11">
      <c r="C407" s="33" t="s">
        <v>1134</v>
      </c>
      <c r="D407" s="33" t="s">
        <v>1135</v>
      </c>
      <c r="E407" s="33" t="s">
        <v>1136</v>
      </c>
      <c r="F407" s="33" t="s">
        <v>1137</v>
      </c>
      <c r="G407" s="33" t="s">
        <v>1138</v>
      </c>
      <c r="H407" s="33" t="s">
        <v>1139</v>
      </c>
      <c r="I407" s="26"/>
      <c r="J407" s="26"/>
      <c r="K407" s="26"/>
    </row>
    <row r="408" spans="1:11">
      <c r="C408" s="17" t="s">
        <v>491</v>
      </c>
      <c r="D408" s="17" t="s">
        <v>492</v>
      </c>
      <c r="E408" s="17" t="s">
        <v>493</v>
      </c>
      <c r="F408" s="17" t="s">
        <v>494</v>
      </c>
      <c r="G408" s="17" t="s">
        <v>495</v>
      </c>
      <c r="H408" s="17" t="s">
        <v>496</v>
      </c>
      <c r="I408" s="17" t="s">
        <v>497</v>
      </c>
      <c r="J408" s="17" t="s">
        <v>498</v>
      </c>
      <c r="K408" s="26"/>
    </row>
    <row r="409" spans="1:11">
      <c r="B409" s="1" t="s">
        <v>382</v>
      </c>
      <c r="C409" s="29" t="s">
        <v>1140</v>
      </c>
      <c r="D409" s="29" t="s">
        <v>1125</v>
      </c>
      <c r="E409" s="29" t="s">
        <v>1110</v>
      </c>
      <c r="F409" s="29" t="s">
        <v>1095</v>
      </c>
      <c r="G409" s="29" t="s">
        <v>1141</v>
      </c>
      <c r="H409" s="29" t="s">
        <v>1126</v>
      </c>
      <c r="I409" s="29" t="s">
        <v>1111</v>
      </c>
      <c r="J409" s="29" t="s">
        <v>1096</v>
      </c>
      <c r="K409" s="26"/>
    </row>
    <row r="410" spans="1:11">
      <c r="B410" s="1"/>
      <c r="C410" s="26"/>
      <c r="D410" s="26"/>
      <c r="E410" s="26"/>
      <c r="F410" s="26"/>
      <c r="G410" s="26"/>
      <c r="H410" s="26"/>
      <c r="I410" s="26"/>
      <c r="J410" s="26"/>
      <c r="K410" s="26"/>
    </row>
    <row r="411" spans="1:11">
      <c r="A411" s="7" t="s">
        <v>380</v>
      </c>
      <c r="B411" s="26">
        <v>46</v>
      </c>
      <c r="C411" s="27" t="s">
        <v>457</v>
      </c>
      <c r="D411" s="27" t="s">
        <v>458</v>
      </c>
      <c r="E411" s="27" t="s">
        <v>459</v>
      </c>
      <c r="F411" s="27" t="s">
        <v>460</v>
      </c>
      <c r="G411" s="27" t="s">
        <v>461</v>
      </c>
      <c r="H411" s="27" t="s">
        <v>462</v>
      </c>
      <c r="I411" s="27" t="s">
        <v>463</v>
      </c>
      <c r="J411" s="27" t="s">
        <v>464</v>
      </c>
      <c r="K411" s="26"/>
    </row>
    <row r="412" spans="1:11">
      <c r="B412" s="1" t="s">
        <v>384</v>
      </c>
      <c r="C412" s="28" t="s">
        <v>1140</v>
      </c>
      <c r="D412" s="28" t="s">
        <v>1125</v>
      </c>
      <c r="E412" s="28" t="s">
        <v>1110</v>
      </c>
      <c r="F412" s="28" t="s">
        <v>1095</v>
      </c>
      <c r="G412" s="28" t="s">
        <v>1141</v>
      </c>
      <c r="H412" s="28" t="s">
        <v>1126</v>
      </c>
      <c r="I412" s="28" t="s">
        <v>1111</v>
      </c>
      <c r="J412" s="28" t="s">
        <v>1096</v>
      </c>
      <c r="K412" s="26"/>
    </row>
    <row r="413" spans="1:11">
      <c r="C413" s="17" t="s">
        <v>474</v>
      </c>
      <c r="D413" s="17" t="s">
        <v>464</v>
      </c>
      <c r="E413" s="17" t="s">
        <v>475</v>
      </c>
      <c r="F413" s="17" t="s">
        <v>476</v>
      </c>
      <c r="G413" s="17" t="s">
        <v>477</v>
      </c>
      <c r="H413" s="17" t="s">
        <v>478</v>
      </c>
      <c r="I413" s="17" t="s">
        <v>479</v>
      </c>
      <c r="J413" s="17" t="s">
        <v>480</v>
      </c>
      <c r="K413" s="17" t="s">
        <v>481</v>
      </c>
    </row>
    <row r="414" spans="1:11">
      <c r="C414" s="17" t="s">
        <v>1142</v>
      </c>
      <c r="D414" s="17" t="s">
        <v>1096</v>
      </c>
      <c r="E414" s="17" t="s">
        <v>1143</v>
      </c>
      <c r="F414" s="17" t="s">
        <v>1144</v>
      </c>
      <c r="G414" s="17" t="s">
        <v>229</v>
      </c>
      <c r="H414" s="17" t="s">
        <v>1145</v>
      </c>
      <c r="I414" s="17" t="s">
        <v>1146</v>
      </c>
      <c r="J414" s="17" t="s">
        <v>1147</v>
      </c>
      <c r="K414" s="17" t="s">
        <v>1148</v>
      </c>
    </row>
    <row r="415" spans="1:11">
      <c r="C415" s="17" t="s">
        <v>485</v>
      </c>
      <c r="D415" s="17" t="s">
        <v>486</v>
      </c>
      <c r="E415" s="17" t="s">
        <v>487</v>
      </c>
      <c r="F415" s="17" t="s">
        <v>488</v>
      </c>
      <c r="G415" s="17" t="s">
        <v>489</v>
      </c>
      <c r="H415" s="17" t="s">
        <v>490</v>
      </c>
      <c r="I415" s="26"/>
      <c r="J415" s="26"/>
      <c r="K415" s="26"/>
    </row>
    <row r="416" spans="1:11">
      <c r="C416" s="33" t="s">
        <v>1149</v>
      </c>
      <c r="D416" s="33" t="s">
        <v>1150</v>
      </c>
      <c r="E416" s="33" t="s">
        <v>1151</v>
      </c>
      <c r="F416" s="33" t="s">
        <v>1152</v>
      </c>
      <c r="G416" s="33" t="s">
        <v>1153</v>
      </c>
      <c r="H416" s="33" t="s">
        <v>1154</v>
      </c>
      <c r="I416" s="26"/>
      <c r="J416" s="26"/>
      <c r="K416" s="26"/>
    </row>
    <row r="417" spans="1:11">
      <c r="C417" s="17" t="s">
        <v>491</v>
      </c>
      <c r="D417" s="17" t="s">
        <v>492</v>
      </c>
      <c r="E417" s="17" t="s">
        <v>493</v>
      </c>
      <c r="F417" s="17" t="s">
        <v>494</v>
      </c>
      <c r="G417" s="17" t="s">
        <v>495</v>
      </c>
      <c r="H417" s="17" t="s">
        <v>496</v>
      </c>
      <c r="I417" s="17" t="s">
        <v>497</v>
      </c>
      <c r="J417" s="17" t="s">
        <v>498</v>
      </c>
      <c r="K417" s="26"/>
    </row>
    <row r="418" spans="1:11">
      <c r="B418" s="1" t="s">
        <v>385</v>
      </c>
      <c r="C418" s="29" t="s">
        <v>1155</v>
      </c>
      <c r="D418" s="29" t="s">
        <v>1140</v>
      </c>
      <c r="E418" s="29" t="s">
        <v>1125</v>
      </c>
      <c r="F418" s="29" t="s">
        <v>1110</v>
      </c>
      <c r="G418" s="29" t="s">
        <v>1156</v>
      </c>
      <c r="H418" s="29" t="s">
        <v>1141</v>
      </c>
      <c r="I418" s="29" t="s">
        <v>1126</v>
      </c>
      <c r="J418" s="29" t="s">
        <v>1111</v>
      </c>
      <c r="K418" s="26"/>
    </row>
    <row r="419" spans="1:11">
      <c r="B419" s="1"/>
      <c r="C419" s="26"/>
      <c r="D419" s="26"/>
      <c r="E419" s="26"/>
      <c r="F419" s="26"/>
      <c r="G419" s="26"/>
      <c r="H419" s="26"/>
      <c r="I419" s="26"/>
      <c r="J419" s="26"/>
      <c r="K419" s="26"/>
    </row>
    <row r="420" spans="1:11">
      <c r="A420" s="7" t="s">
        <v>383</v>
      </c>
      <c r="B420" s="26">
        <v>47</v>
      </c>
      <c r="C420" s="27" t="s">
        <v>457</v>
      </c>
      <c r="D420" s="27" t="s">
        <v>458</v>
      </c>
      <c r="E420" s="27" t="s">
        <v>459</v>
      </c>
      <c r="F420" s="27" t="s">
        <v>460</v>
      </c>
      <c r="G420" s="27" t="s">
        <v>461</v>
      </c>
      <c r="H420" s="27" t="s">
        <v>462</v>
      </c>
      <c r="I420" s="27" t="s">
        <v>463</v>
      </c>
      <c r="J420" s="27" t="s">
        <v>464</v>
      </c>
      <c r="K420" s="26"/>
    </row>
    <row r="421" spans="1:11">
      <c r="B421" s="1" t="s">
        <v>387</v>
      </c>
      <c r="C421" s="28" t="s">
        <v>1155</v>
      </c>
      <c r="D421" s="28" t="s">
        <v>1140</v>
      </c>
      <c r="E421" s="28" t="s">
        <v>1125</v>
      </c>
      <c r="F421" s="28" t="s">
        <v>1110</v>
      </c>
      <c r="G421" s="28" t="s">
        <v>1156</v>
      </c>
      <c r="H421" s="28" t="s">
        <v>1141</v>
      </c>
      <c r="I421" s="28" t="s">
        <v>1126</v>
      </c>
      <c r="J421" s="28" t="s">
        <v>1111</v>
      </c>
      <c r="K421" s="26"/>
    </row>
    <row r="422" spans="1:11">
      <c r="C422" s="17" t="s">
        <v>474</v>
      </c>
      <c r="D422" s="17" t="s">
        <v>464</v>
      </c>
      <c r="E422" s="17" t="s">
        <v>475</v>
      </c>
      <c r="F422" s="17" t="s">
        <v>476</v>
      </c>
      <c r="G422" s="17" t="s">
        <v>477</v>
      </c>
      <c r="H422" s="17" t="s">
        <v>478</v>
      </c>
      <c r="I422" s="17" t="s">
        <v>479</v>
      </c>
      <c r="J422" s="17" t="s">
        <v>480</v>
      </c>
      <c r="K422" s="17" t="s">
        <v>481</v>
      </c>
    </row>
    <row r="423" spans="1:11">
      <c r="C423" s="17" t="s">
        <v>1157</v>
      </c>
      <c r="D423" s="17" t="s">
        <v>1111</v>
      </c>
      <c r="E423" s="17" t="s">
        <v>1158</v>
      </c>
      <c r="F423" s="17" t="s">
        <v>1159</v>
      </c>
      <c r="G423" s="17" t="s">
        <v>230</v>
      </c>
      <c r="H423" s="17" t="s">
        <v>1160</v>
      </c>
      <c r="I423" s="17" t="s">
        <v>1161</v>
      </c>
      <c r="J423" s="17" t="s">
        <v>1162</v>
      </c>
      <c r="K423" s="17" t="s">
        <v>1163</v>
      </c>
    </row>
    <row r="424" spans="1:11">
      <c r="C424" s="17" t="s">
        <v>485</v>
      </c>
      <c r="D424" s="17" t="s">
        <v>486</v>
      </c>
      <c r="E424" s="17" t="s">
        <v>487</v>
      </c>
      <c r="F424" s="17" t="s">
        <v>488</v>
      </c>
      <c r="G424" s="17" t="s">
        <v>489</v>
      </c>
      <c r="H424" s="17" t="s">
        <v>490</v>
      </c>
      <c r="I424" s="26"/>
      <c r="J424" s="26"/>
      <c r="K424" s="26"/>
    </row>
    <row r="425" spans="1:11">
      <c r="C425" s="33" t="s">
        <v>1164</v>
      </c>
      <c r="D425" s="33" t="s">
        <v>1165</v>
      </c>
      <c r="E425" s="33" t="s">
        <v>1166</v>
      </c>
      <c r="F425" s="33" t="s">
        <v>1167</v>
      </c>
      <c r="G425" s="33" t="s">
        <v>1168</v>
      </c>
      <c r="H425" s="33" t="s">
        <v>1169</v>
      </c>
      <c r="I425" s="26"/>
      <c r="J425" s="26"/>
      <c r="K425" s="26"/>
    </row>
    <row r="426" spans="1:11">
      <c r="C426" s="17" t="s">
        <v>491</v>
      </c>
      <c r="D426" s="17" t="s">
        <v>492</v>
      </c>
      <c r="E426" s="17" t="s">
        <v>493</v>
      </c>
      <c r="F426" s="17" t="s">
        <v>494</v>
      </c>
      <c r="G426" s="17" t="s">
        <v>495</v>
      </c>
      <c r="H426" s="17" t="s">
        <v>496</v>
      </c>
      <c r="I426" s="17" t="s">
        <v>497</v>
      </c>
      <c r="J426" s="17" t="s">
        <v>498</v>
      </c>
      <c r="K426" s="26"/>
    </row>
    <row r="427" spans="1:11">
      <c r="B427" s="1" t="s">
        <v>388</v>
      </c>
      <c r="C427" s="29" t="s">
        <v>1170</v>
      </c>
      <c r="D427" s="29" t="s">
        <v>1155</v>
      </c>
      <c r="E427" s="29" t="s">
        <v>1140</v>
      </c>
      <c r="F427" s="29" t="s">
        <v>1125</v>
      </c>
      <c r="G427" s="29" t="s">
        <v>1171</v>
      </c>
      <c r="H427" s="29" t="s">
        <v>1156</v>
      </c>
      <c r="I427" s="29" t="s">
        <v>1141</v>
      </c>
      <c r="J427" s="29" t="s">
        <v>1126</v>
      </c>
      <c r="K427" s="26"/>
    </row>
    <row r="428" spans="1:11">
      <c r="B428" s="1"/>
      <c r="C428" s="26"/>
      <c r="D428" s="26"/>
      <c r="E428" s="26"/>
      <c r="F428" s="26"/>
      <c r="G428" s="26"/>
      <c r="H428" s="26"/>
      <c r="I428" s="26"/>
      <c r="J428" s="26"/>
      <c r="K428" s="26"/>
    </row>
    <row r="429" spans="1:11">
      <c r="A429" s="7" t="s">
        <v>386</v>
      </c>
      <c r="B429" s="26">
        <v>48</v>
      </c>
      <c r="C429" s="27" t="s">
        <v>457</v>
      </c>
      <c r="D429" s="27" t="s">
        <v>458</v>
      </c>
      <c r="E429" s="27" t="s">
        <v>459</v>
      </c>
      <c r="F429" s="27" t="s">
        <v>460</v>
      </c>
      <c r="G429" s="27" t="s">
        <v>461</v>
      </c>
      <c r="H429" s="27" t="s">
        <v>462</v>
      </c>
      <c r="I429" s="27" t="s">
        <v>463</v>
      </c>
      <c r="J429" s="27" t="s">
        <v>464</v>
      </c>
      <c r="K429" s="26"/>
    </row>
    <row r="430" spans="1:11">
      <c r="B430" s="1" t="s">
        <v>390</v>
      </c>
      <c r="C430" s="28" t="s">
        <v>1170</v>
      </c>
      <c r="D430" s="28" t="s">
        <v>1155</v>
      </c>
      <c r="E430" s="28" t="s">
        <v>1140</v>
      </c>
      <c r="F430" s="28" t="s">
        <v>1125</v>
      </c>
      <c r="G430" s="28" t="s">
        <v>1171</v>
      </c>
      <c r="H430" s="28" t="s">
        <v>1156</v>
      </c>
      <c r="I430" s="28" t="s">
        <v>1141</v>
      </c>
      <c r="J430" s="28" t="s">
        <v>1126</v>
      </c>
      <c r="K430" s="26"/>
    </row>
    <row r="431" spans="1:11">
      <c r="C431" s="17" t="s">
        <v>474</v>
      </c>
      <c r="D431" s="17" t="s">
        <v>464</v>
      </c>
      <c r="E431" s="17" t="s">
        <v>475</v>
      </c>
      <c r="F431" s="17" t="s">
        <v>476</v>
      </c>
      <c r="G431" s="17" t="s">
        <v>477</v>
      </c>
      <c r="H431" s="17" t="s">
        <v>478</v>
      </c>
      <c r="I431" s="17" t="s">
        <v>479</v>
      </c>
      <c r="J431" s="17" t="s">
        <v>480</v>
      </c>
      <c r="K431" s="17" t="s">
        <v>481</v>
      </c>
    </row>
    <row r="432" spans="1:11">
      <c r="C432" s="17" t="s">
        <v>1172</v>
      </c>
      <c r="D432" s="17" t="s">
        <v>1126</v>
      </c>
      <c r="E432" s="17" t="s">
        <v>1173</v>
      </c>
      <c r="F432" s="17" t="s">
        <v>1174</v>
      </c>
      <c r="G432" s="17" t="s">
        <v>231</v>
      </c>
      <c r="H432" s="17" t="s">
        <v>1175</v>
      </c>
      <c r="I432" s="17" t="s">
        <v>1176</v>
      </c>
      <c r="J432" s="17" t="s">
        <v>1177</v>
      </c>
      <c r="K432" s="17" t="s">
        <v>1178</v>
      </c>
    </row>
    <row r="433" spans="1:11">
      <c r="C433" s="17" t="s">
        <v>485</v>
      </c>
      <c r="D433" s="17" t="s">
        <v>486</v>
      </c>
      <c r="E433" s="17" t="s">
        <v>487</v>
      </c>
      <c r="F433" s="17" t="s">
        <v>488</v>
      </c>
      <c r="G433" s="17" t="s">
        <v>489</v>
      </c>
      <c r="H433" s="17" t="s">
        <v>490</v>
      </c>
      <c r="I433" s="26"/>
      <c r="J433" s="26"/>
      <c r="K433" s="26"/>
    </row>
    <row r="434" spans="1:11">
      <c r="C434" s="33" t="s">
        <v>1179</v>
      </c>
      <c r="D434" s="33" t="s">
        <v>1180</v>
      </c>
      <c r="E434" s="33" t="s">
        <v>1181</v>
      </c>
      <c r="F434" s="33" t="s">
        <v>1182</v>
      </c>
      <c r="G434" s="33" t="s">
        <v>1183</v>
      </c>
      <c r="H434" s="33" t="s">
        <v>1184</v>
      </c>
      <c r="I434" s="26"/>
      <c r="J434" s="26"/>
      <c r="K434" s="26"/>
    </row>
    <row r="435" spans="1:11">
      <c r="C435" s="17" t="s">
        <v>491</v>
      </c>
      <c r="D435" s="17" t="s">
        <v>492</v>
      </c>
      <c r="E435" s="17" t="s">
        <v>493</v>
      </c>
      <c r="F435" s="17" t="s">
        <v>494</v>
      </c>
      <c r="G435" s="17" t="s">
        <v>495</v>
      </c>
      <c r="H435" s="17" t="s">
        <v>496</v>
      </c>
      <c r="I435" s="17" t="s">
        <v>497</v>
      </c>
      <c r="J435" s="17" t="s">
        <v>498</v>
      </c>
      <c r="K435" s="26"/>
    </row>
    <row r="436" spans="1:11">
      <c r="B436" s="1" t="s">
        <v>391</v>
      </c>
      <c r="C436" s="29" t="s">
        <v>1185</v>
      </c>
      <c r="D436" s="29" t="s">
        <v>1170</v>
      </c>
      <c r="E436" s="29" t="s">
        <v>1155</v>
      </c>
      <c r="F436" s="29" t="s">
        <v>1140</v>
      </c>
      <c r="G436" s="29" t="s">
        <v>1186</v>
      </c>
      <c r="H436" s="29" t="s">
        <v>1171</v>
      </c>
      <c r="I436" s="29" t="s">
        <v>1156</v>
      </c>
      <c r="J436" s="29" t="s">
        <v>1141</v>
      </c>
      <c r="K436" s="26"/>
    </row>
    <row r="437" spans="1:11">
      <c r="B437" s="1"/>
      <c r="C437" s="26"/>
      <c r="D437" s="26"/>
      <c r="E437" s="26"/>
      <c r="F437" s="26"/>
      <c r="G437" s="26"/>
      <c r="H437" s="26"/>
      <c r="I437" s="26"/>
      <c r="J437" s="26"/>
      <c r="K437" s="26"/>
    </row>
    <row r="438" spans="1:11">
      <c r="A438" s="7" t="s">
        <v>389</v>
      </c>
      <c r="B438" s="26">
        <v>49</v>
      </c>
      <c r="C438" s="27" t="s">
        <v>457</v>
      </c>
      <c r="D438" s="27" t="s">
        <v>458</v>
      </c>
      <c r="E438" s="27" t="s">
        <v>459</v>
      </c>
      <c r="F438" s="27" t="s">
        <v>460</v>
      </c>
      <c r="G438" s="27" t="s">
        <v>461</v>
      </c>
      <c r="H438" s="27" t="s">
        <v>462</v>
      </c>
      <c r="I438" s="27" t="s">
        <v>463</v>
      </c>
      <c r="J438" s="27" t="s">
        <v>464</v>
      </c>
      <c r="K438" s="26"/>
    </row>
    <row r="439" spans="1:11">
      <c r="B439" s="1" t="s">
        <v>393</v>
      </c>
      <c r="C439" s="28" t="s">
        <v>1185</v>
      </c>
      <c r="D439" s="28" t="s">
        <v>1170</v>
      </c>
      <c r="E439" s="28" t="s">
        <v>1155</v>
      </c>
      <c r="F439" s="28" t="s">
        <v>1140</v>
      </c>
      <c r="G439" s="28" t="s">
        <v>1186</v>
      </c>
      <c r="H439" s="28" t="s">
        <v>1171</v>
      </c>
      <c r="I439" s="28" t="s">
        <v>1156</v>
      </c>
      <c r="J439" s="28" t="s">
        <v>1141</v>
      </c>
      <c r="K439" s="26"/>
    </row>
    <row r="440" spans="1:11">
      <c r="C440" s="17" t="s">
        <v>474</v>
      </c>
      <c r="D440" s="17" t="s">
        <v>464</v>
      </c>
      <c r="E440" s="17" t="s">
        <v>475</v>
      </c>
      <c r="F440" s="17" t="s">
        <v>476</v>
      </c>
      <c r="G440" s="17" t="s">
        <v>477</v>
      </c>
      <c r="H440" s="17" t="s">
        <v>478</v>
      </c>
      <c r="I440" s="17" t="s">
        <v>479</v>
      </c>
      <c r="J440" s="17" t="s">
        <v>480</v>
      </c>
      <c r="K440" s="17" t="s">
        <v>481</v>
      </c>
    </row>
    <row r="441" spans="1:11">
      <c r="C441" s="17" t="s">
        <v>1187</v>
      </c>
      <c r="D441" s="17" t="s">
        <v>1141</v>
      </c>
      <c r="E441" s="17" t="s">
        <v>1188</v>
      </c>
      <c r="F441" s="17" t="s">
        <v>1189</v>
      </c>
      <c r="G441" s="17" t="s">
        <v>232</v>
      </c>
      <c r="H441" s="17" t="s">
        <v>1190</v>
      </c>
      <c r="I441" s="17" t="s">
        <v>1191</v>
      </c>
      <c r="J441" s="17" t="s">
        <v>1192</v>
      </c>
      <c r="K441" s="17" t="s">
        <v>1193</v>
      </c>
    </row>
    <row r="442" spans="1:11">
      <c r="C442" s="17" t="s">
        <v>485</v>
      </c>
      <c r="D442" s="17" t="s">
        <v>486</v>
      </c>
      <c r="E442" s="17" t="s">
        <v>487</v>
      </c>
      <c r="F442" s="17" t="s">
        <v>488</v>
      </c>
      <c r="G442" s="17" t="s">
        <v>489</v>
      </c>
      <c r="H442" s="17" t="s">
        <v>490</v>
      </c>
      <c r="I442" s="26"/>
      <c r="J442" s="26"/>
      <c r="K442" s="26"/>
    </row>
    <row r="443" spans="1:11">
      <c r="C443" s="33" t="s">
        <v>1194</v>
      </c>
      <c r="D443" s="33" t="s">
        <v>1195</v>
      </c>
      <c r="E443" s="33" t="s">
        <v>1196</v>
      </c>
      <c r="F443" s="33" t="s">
        <v>1197</v>
      </c>
      <c r="G443" s="33" t="s">
        <v>1198</v>
      </c>
      <c r="H443" s="33" t="s">
        <v>1199</v>
      </c>
      <c r="I443" s="26"/>
      <c r="J443" s="26"/>
      <c r="K443" s="26"/>
    </row>
    <row r="444" spans="1:11">
      <c r="C444" s="17" t="s">
        <v>491</v>
      </c>
      <c r="D444" s="17" t="s">
        <v>492</v>
      </c>
      <c r="E444" s="17" t="s">
        <v>493</v>
      </c>
      <c r="F444" s="17" t="s">
        <v>494</v>
      </c>
      <c r="G444" s="17" t="s">
        <v>495</v>
      </c>
      <c r="H444" s="17" t="s">
        <v>496</v>
      </c>
      <c r="I444" s="17" t="s">
        <v>497</v>
      </c>
      <c r="J444" s="17" t="s">
        <v>498</v>
      </c>
      <c r="K444" s="26"/>
    </row>
    <row r="445" spans="1:11">
      <c r="B445" s="1" t="s">
        <v>394</v>
      </c>
      <c r="C445" s="29" t="s">
        <v>1200</v>
      </c>
      <c r="D445" s="29" t="s">
        <v>1185</v>
      </c>
      <c r="E445" s="29" t="s">
        <v>1170</v>
      </c>
      <c r="F445" s="29" t="s">
        <v>1155</v>
      </c>
      <c r="G445" s="29" t="s">
        <v>1201</v>
      </c>
      <c r="H445" s="29" t="s">
        <v>1186</v>
      </c>
      <c r="I445" s="29" t="s">
        <v>1171</v>
      </c>
      <c r="J445" s="29" t="s">
        <v>1156</v>
      </c>
      <c r="K445" s="26"/>
    </row>
    <row r="446" spans="1:11">
      <c r="B446" s="1"/>
      <c r="C446" s="26"/>
      <c r="D446" s="26"/>
      <c r="E446" s="26"/>
      <c r="F446" s="26"/>
      <c r="G446" s="26"/>
      <c r="H446" s="26"/>
      <c r="I446" s="26"/>
      <c r="J446" s="26"/>
      <c r="K446" s="26"/>
    </row>
    <row r="447" spans="1:11">
      <c r="A447" s="7" t="s">
        <v>392</v>
      </c>
      <c r="B447" s="26">
        <v>50</v>
      </c>
      <c r="C447" s="27" t="s">
        <v>457</v>
      </c>
      <c r="D447" s="27" t="s">
        <v>458</v>
      </c>
      <c r="E447" s="27" t="s">
        <v>459</v>
      </c>
      <c r="F447" s="27" t="s">
        <v>460</v>
      </c>
      <c r="G447" s="27" t="s">
        <v>461</v>
      </c>
      <c r="H447" s="27" t="s">
        <v>462</v>
      </c>
      <c r="I447" s="27" t="s">
        <v>463</v>
      </c>
      <c r="J447" s="27" t="s">
        <v>464</v>
      </c>
      <c r="K447" s="26"/>
    </row>
    <row r="448" spans="1:11">
      <c r="B448" s="1" t="s">
        <v>396</v>
      </c>
      <c r="C448" s="28" t="s">
        <v>1200</v>
      </c>
      <c r="D448" s="28" t="s">
        <v>1185</v>
      </c>
      <c r="E448" s="28" t="s">
        <v>1170</v>
      </c>
      <c r="F448" s="28" t="s">
        <v>1155</v>
      </c>
      <c r="G448" s="28" t="s">
        <v>1201</v>
      </c>
      <c r="H448" s="28" t="s">
        <v>1186</v>
      </c>
      <c r="I448" s="28" t="s">
        <v>1171</v>
      </c>
      <c r="J448" s="28" t="s">
        <v>1156</v>
      </c>
      <c r="K448" s="26"/>
    </row>
    <row r="449" spans="1:11">
      <c r="C449" s="17" t="s">
        <v>474</v>
      </c>
      <c r="D449" s="17" t="s">
        <v>464</v>
      </c>
      <c r="E449" s="17" t="s">
        <v>475</v>
      </c>
      <c r="F449" s="17" t="s">
        <v>476</v>
      </c>
      <c r="G449" s="17" t="s">
        <v>477</v>
      </c>
      <c r="H449" s="17" t="s">
        <v>478</v>
      </c>
      <c r="I449" s="17" t="s">
        <v>479</v>
      </c>
      <c r="J449" s="17" t="s">
        <v>480</v>
      </c>
      <c r="K449" s="17" t="s">
        <v>481</v>
      </c>
    </row>
    <row r="450" spans="1:11">
      <c r="C450" s="17" t="s">
        <v>1202</v>
      </c>
      <c r="D450" s="17" t="s">
        <v>1156</v>
      </c>
      <c r="E450" s="17" t="s">
        <v>1203</v>
      </c>
      <c r="F450" s="17" t="s">
        <v>1204</v>
      </c>
      <c r="G450" s="17" t="s">
        <v>233</v>
      </c>
      <c r="H450" s="17" t="s">
        <v>1205</v>
      </c>
      <c r="I450" s="17" t="s">
        <v>1206</v>
      </c>
      <c r="J450" s="17" t="s">
        <v>1207</v>
      </c>
      <c r="K450" s="17" t="s">
        <v>1208</v>
      </c>
    </row>
    <row r="451" spans="1:11">
      <c r="C451" s="17" t="s">
        <v>485</v>
      </c>
      <c r="D451" s="17" t="s">
        <v>486</v>
      </c>
      <c r="E451" s="17" t="s">
        <v>487</v>
      </c>
      <c r="F451" s="17" t="s">
        <v>488</v>
      </c>
      <c r="G451" s="17" t="s">
        <v>489</v>
      </c>
      <c r="H451" s="17" t="s">
        <v>490</v>
      </c>
      <c r="I451" s="26"/>
      <c r="J451" s="26"/>
      <c r="K451" s="26"/>
    </row>
    <row r="452" spans="1:11">
      <c r="C452" s="33" t="s">
        <v>1209</v>
      </c>
      <c r="D452" s="33" t="s">
        <v>1210</v>
      </c>
      <c r="E452" s="33" t="s">
        <v>1211</v>
      </c>
      <c r="F452" s="33" t="s">
        <v>1212</v>
      </c>
      <c r="G452" s="33" t="s">
        <v>1213</v>
      </c>
      <c r="H452" s="33" t="s">
        <v>1214</v>
      </c>
      <c r="I452" s="26"/>
      <c r="J452" s="26"/>
      <c r="K452" s="26"/>
    </row>
    <row r="453" spans="1:11">
      <c r="C453" s="17" t="s">
        <v>491</v>
      </c>
      <c r="D453" s="17" t="s">
        <v>492</v>
      </c>
      <c r="E453" s="17" t="s">
        <v>493</v>
      </c>
      <c r="F453" s="17" t="s">
        <v>494</v>
      </c>
      <c r="G453" s="17" t="s">
        <v>495</v>
      </c>
      <c r="H453" s="17" t="s">
        <v>496</v>
      </c>
      <c r="I453" s="17" t="s">
        <v>497</v>
      </c>
      <c r="J453" s="17" t="s">
        <v>498</v>
      </c>
      <c r="K453" s="26"/>
    </row>
    <row r="454" spans="1:11">
      <c r="B454" s="1" t="s">
        <v>397</v>
      </c>
      <c r="C454" s="29" t="s">
        <v>1215</v>
      </c>
      <c r="D454" s="29" t="s">
        <v>1200</v>
      </c>
      <c r="E454" s="29" t="s">
        <v>1185</v>
      </c>
      <c r="F454" s="29" t="s">
        <v>1170</v>
      </c>
      <c r="G454" s="29" t="s">
        <v>1216</v>
      </c>
      <c r="H454" s="29" t="s">
        <v>1201</v>
      </c>
      <c r="I454" s="29" t="s">
        <v>1186</v>
      </c>
      <c r="J454" s="29" t="s">
        <v>1171</v>
      </c>
      <c r="K454" s="26"/>
    </row>
    <row r="455" spans="1:11">
      <c r="B455" s="1"/>
      <c r="C455" s="26"/>
      <c r="D455" s="26"/>
      <c r="E455" s="26"/>
      <c r="F455" s="26"/>
      <c r="G455" s="26"/>
      <c r="H455" s="26"/>
      <c r="I455" s="26"/>
      <c r="J455" s="26"/>
      <c r="K455" s="26"/>
    </row>
    <row r="456" spans="1:11">
      <c r="A456" s="7" t="s">
        <v>395</v>
      </c>
      <c r="B456" s="26">
        <v>51</v>
      </c>
      <c r="C456" s="27" t="s">
        <v>457</v>
      </c>
      <c r="D456" s="27" t="s">
        <v>458</v>
      </c>
      <c r="E456" s="27" t="s">
        <v>459</v>
      </c>
      <c r="F456" s="27" t="s">
        <v>460</v>
      </c>
      <c r="G456" s="27" t="s">
        <v>461</v>
      </c>
      <c r="H456" s="27" t="s">
        <v>462</v>
      </c>
      <c r="I456" s="27" t="s">
        <v>463</v>
      </c>
      <c r="J456" s="27" t="s">
        <v>464</v>
      </c>
      <c r="K456" s="26"/>
    </row>
    <row r="457" spans="1:11">
      <c r="B457" s="1" t="s">
        <v>399</v>
      </c>
      <c r="C457" s="28" t="s">
        <v>1215</v>
      </c>
      <c r="D457" s="28" t="s">
        <v>1200</v>
      </c>
      <c r="E457" s="28" t="s">
        <v>1185</v>
      </c>
      <c r="F457" s="28" t="s">
        <v>1170</v>
      </c>
      <c r="G457" s="28" t="s">
        <v>1216</v>
      </c>
      <c r="H457" s="28" t="s">
        <v>1201</v>
      </c>
      <c r="I457" s="28" t="s">
        <v>1186</v>
      </c>
      <c r="J457" s="28" t="s">
        <v>1171</v>
      </c>
      <c r="K457" s="26"/>
    </row>
    <row r="458" spans="1:11">
      <c r="C458" s="17" t="s">
        <v>474</v>
      </c>
      <c r="D458" s="17" t="s">
        <v>464</v>
      </c>
      <c r="E458" s="17" t="s">
        <v>475</v>
      </c>
      <c r="F458" s="17" t="s">
        <v>476</v>
      </c>
      <c r="G458" s="17" t="s">
        <v>477</v>
      </c>
      <c r="H458" s="17" t="s">
        <v>478</v>
      </c>
      <c r="I458" s="17" t="s">
        <v>479</v>
      </c>
      <c r="J458" s="17" t="s">
        <v>480</v>
      </c>
      <c r="K458" s="17" t="s">
        <v>481</v>
      </c>
    </row>
    <row r="459" spans="1:11">
      <c r="C459" s="17" t="s">
        <v>1217</v>
      </c>
      <c r="D459" s="17" t="s">
        <v>1171</v>
      </c>
      <c r="E459" s="17" t="s">
        <v>1218</v>
      </c>
      <c r="F459" s="17" t="s">
        <v>1219</v>
      </c>
      <c r="G459" s="17" t="s">
        <v>234</v>
      </c>
      <c r="H459" s="17" t="s">
        <v>1220</v>
      </c>
      <c r="I459" s="17" t="s">
        <v>1221</v>
      </c>
      <c r="J459" s="17" t="s">
        <v>1222</v>
      </c>
      <c r="K459" s="17" t="s">
        <v>1223</v>
      </c>
    </row>
    <row r="460" spans="1:11">
      <c r="C460" s="17" t="s">
        <v>485</v>
      </c>
      <c r="D460" s="17" t="s">
        <v>486</v>
      </c>
      <c r="E460" s="17" t="s">
        <v>487</v>
      </c>
      <c r="F460" s="17" t="s">
        <v>488</v>
      </c>
      <c r="G460" s="17" t="s">
        <v>489</v>
      </c>
      <c r="H460" s="17" t="s">
        <v>490</v>
      </c>
      <c r="I460" s="26"/>
      <c r="J460" s="26"/>
      <c r="K460" s="26"/>
    </row>
    <row r="461" spans="1:11">
      <c r="C461" s="33" t="s">
        <v>1224</v>
      </c>
      <c r="D461" s="33" t="s">
        <v>1225</v>
      </c>
      <c r="E461" s="33" t="s">
        <v>1226</v>
      </c>
      <c r="F461" s="33" t="s">
        <v>1227</v>
      </c>
      <c r="G461" s="33" t="s">
        <v>1228</v>
      </c>
      <c r="H461" s="33" t="s">
        <v>1229</v>
      </c>
      <c r="I461" s="26"/>
      <c r="J461" s="26"/>
      <c r="K461" s="26"/>
    </row>
    <row r="462" spans="1:11">
      <c r="C462" s="17" t="s">
        <v>491</v>
      </c>
      <c r="D462" s="17" t="s">
        <v>492</v>
      </c>
      <c r="E462" s="17" t="s">
        <v>493</v>
      </c>
      <c r="F462" s="17" t="s">
        <v>494</v>
      </c>
      <c r="G462" s="17" t="s">
        <v>495</v>
      </c>
      <c r="H462" s="17" t="s">
        <v>496</v>
      </c>
      <c r="I462" s="17" t="s">
        <v>497</v>
      </c>
      <c r="J462" s="17" t="s">
        <v>498</v>
      </c>
      <c r="K462" s="26"/>
    </row>
    <row r="463" spans="1:11">
      <c r="B463" s="1" t="s">
        <v>400</v>
      </c>
      <c r="C463" s="29" t="s">
        <v>1230</v>
      </c>
      <c r="D463" s="29" t="s">
        <v>1215</v>
      </c>
      <c r="E463" s="29" t="s">
        <v>1200</v>
      </c>
      <c r="F463" s="29" t="s">
        <v>1185</v>
      </c>
      <c r="G463" s="29" t="s">
        <v>1231</v>
      </c>
      <c r="H463" s="29" t="s">
        <v>1216</v>
      </c>
      <c r="I463" s="29" t="s">
        <v>1201</v>
      </c>
      <c r="J463" s="29" t="s">
        <v>1186</v>
      </c>
      <c r="K463" s="26"/>
    </row>
    <row r="464" spans="1:11">
      <c r="B464" s="1"/>
      <c r="C464" s="26"/>
      <c r="D464" s="26"/>
      <c r="E464" s="26"/>
      <c r="F464" s="26"/>
      <c r="G464" s="26"/>
      <c r="H464" s="26"/>
      <c r="I464" s="26"/>
      <c r="J464" s="26"/>
      <c r="K464" s="26"/>
    </row>
    <row r="465" spans="1:11">
      <c r="A465" s="7" t="s">
        <v>398</v>
      </c>
      <c r="B465" s="26">
        <v>52</v>
      </c>
      <c r="C465" s="27" t="s">
        <v>457</v>
      </c>
      <c r="D465" s="27" t="s">
        <v>458</v>
      </c>
      <c r="E465" s="27" t="s">
        <v>459</v>
      </c>
      <c r="F465" s="27" t="s">
        <v>460</v>
      </c>
      <c r="G465" s="27" t="s">
        <v>461</v>
      </c>
      <c r="H465" s="27" t="s">
        <v>462</v>
      </c>
      <c r="I465" s="27" t="s">
        <v>463</v>
      </c>
      <c r="J465" s="27" t="s">
        <v>464</v>
      </c>
      <c r="K465" s="26"/>
    </row>
    <row r="466" spans="1:11">
      <c r="B466" s="1" t="s">
        <v>402</v>
      </c>
      <c r="C466" s="28" t="s">
        <v>1230</v>
      </c>
      <c r="D466" s="28" t="s">
        <v>1215</v>
      </c>
      <c r="E466" s="28" t="s">
        <v>1200</v>
      </c>
      <c r="F466" s="28" t="s">
        <v>1185</v>
      </c>
      <c r="G466" s="28" t="s">
        <v>1232</v>
      </c>
      <c r="H466" s="28" t="s">
        <v>1216</v>
      </c>
      <c r="I466" s="28" t="s">
        <v>1201</v>
      </c>
      <c r="J466" s="28" t="s">
        <v>1186</v>
      </c>
      <c r="K466" s="26"/>
    </row>
    <row r="467" spans="1:11">
      <c r="C467" s="17" t="s">
        <v>474</v>
      </c>
      <c r="D467" s="17" t="s">
        <v>464</v>
      </c>
      <c r="E467" s="17" t="s">
        <v>475</v>
      </c>
      <c r="F467" s="17" t="s">
        <v>476</v>
      </c>
      <c r="G467" s="17" t="s">
        <v>477</v>
      </c>
      <c r="H467" s="17" t="s">
        <v>478</v>
      </c>
      <c r="I467" s="17" t="s">
        <v>479</v>
      </c>
      <c r="J467" s="17" t="s">
        <v>480</v>
      </c>
      <c r="K467" s="17" t="s">
        <v>481</v>
      </c>
    </row>
    <row r="468" spans="1:11">
      <c r="C468" s="17" t="s">
        <v>1233</v>
      </c>
      <c r="D468" s="17" t="s">
        <v>1186</v>
      </c>
      <c r="E468" s="17" t="s">
        <v>1234</v>
      </c>
      <c r="F468" s="17" t="s">
        <v>1235</v>
      </c>
      <c r="G468" s="17" t="s">
        <v>235</v>
      </c>
      <c r="H468" s="17" t="s">
        <v>1236</v>
      </c>
      <c r="I468" s="17" t="s">
        <v>1237</v>
      </c>
      <c r="J468" s="17" t="s">
        <v>1238</v>
      </c>
      <c r="K468" s="17" t="s">
        <v>1239</v>
      </c>
    </row>
    <row r="469" spans="1:11">
      <c r="C469" s="17" t="s">
        <v>485</v>
      </c>
      <c r="D469" s="17" t="s">
        <v>486</v>
      </c>
      <c r="E469" s="17" t="s">
        <v>487</v>
      </c>
      <c r="F469" s="17" t="s">
        <v>488</v>
      </c>
      <c r="G469" s="17" t="s">
        <v>489</v>
      </c>
      <c r="H469" s="17" t="s">
        <v>490</v>
      </c>
      <c r="I469" s="26"/>
      <c r="J469" s="26"/>
      <c r="K469" s="26"/>
    </row>
    <row r="470" spans="1:11">
      <c r="C470" s="33" t="s">
        <v>1240</v>
      </c>
      <c r="D470" s="33" t="s">
        <v>1241</v>
      </c>
      <c r="E470" s="33" t="s">
        <v>1242</v>
      </c>
      <c r="F470" s="33" t="s">
        <v>1243</v>
      </c>
      <c r="G470" s="33" t="s">
        <v>1244</v>
      </c>
      <c r="H470" s="33" t="s">
        <v>1245</v>
      </c>
      <c r="I470" s="26"/>
      <c r="J470" s="26"/>
      <c r="K470" s="26"/>
    </row>
    <row r="471" spans="1:11">
      <c r="C471" s="17" t="s">
        <v>491</v>
      </c>
      <c r="D471" s="17" t="s">
        <v>492</v>
      </c>
      <c r="E471" s="17" t="s">
        <v>493</v>
      </c>
      <c r="F471" s="17" t="s">
        <v>494</v>
      </c>
      <c r="G471" s="17" t="s">
        <v>495</v>
      </c>
      <c r="H471" s="17" t="s">
        <v>496</v>
      </c>
      <c r="I471" s="17" t="s">
        <v>497</v>
      </c>
      <c r="J471" s="17" t="s">
        <v>498</v>
      </c>
      <c r="K471" s="26"/>
    </row>
    <row r="472" spans="1:11">
      <c r="B472" s="1" t="s">
        <v>403</v>
      </c>
      <c r="C472" s="29" t="s">
        <v>1246</v>
      </c>
      <c r="D472" s="29" t="s">
        <v>1230</v>
      </c>
      <c r="E472" s="29" t="s">
        <v>1215</v>
      </c>
      <c r="F472" s="29" t="s">
        <v>1200</v>
      </c>
      <c r="G472" s="29" t="s">
        <v>1247</v>
      </c>
      <c r="H472" s="29" t="s">
        <v>1232</v>
      </c>
      <c r="I472" s="29" t="s">
        <v>1216</v>
      </c>
      <c r="J472" s="29" t="s">
        <v>1201</v>
      </c>
      <c r="K472" s="26"/>
    </row>
    <row r="473" spans="1:11">
      <c r="B473" s="1"/>
      <c r="C473" s="26"/>
      <c r="D473" s="26"/>
      <c r="E473" s="26"/>
      <c r="F473" s="26"/>
      <c r="G473" s="26"/>
      <c r="H473" s="26"/>
      <c r="I473" s="26"/>
      <c r="J473" s="26"/>
      <c r="K473" s="26"/>
    </row>
    <row r="474" spans="1:11">
      <c r="A474" s="7" t="s">
        <v>401</v>
      </c>
      <c r="B474" s="26">
        <v>53</v>
      </c>
      <c r="C474" s="27" t="s">
        <v>457</v>
      </c>
      <c r="D474" s="27" t="s">
        <v>458</v>
      </c>
      <c r="E474" s="27" t="s">
        <v>459</v>
      </c>
      <c r="F474" s="27" t="s">
        <v>460</v>
      </c>
      <c r="G474" s="27" t="s">
        <v>461</v>
      </c>
      <c r="H474" s="27" t="s">
        <v>462</v>
      </c>
      <c r="I474" s="27" t="s">
        <v>463</v>
      </c>
      <c r="J474" s="27" t="s">
        <v>464</v>
      </c>
      <c r="K474" s="26"/>
    </row>
    <row r="475" spans="1:11">
      <c r="B475" s="1" t="s">
        <v>405</v>
      </c>
      <c r="C475" s="28" t="s">
        <v>1246</v>
      </c>
      <c r="D475" s="28" t="s">
        <v>1230</v>
      </c>
      <c r="E475" s="28" t="s">
        <v>1215</v>
      </c>
      <c r="F475" s="28" t="s">
        <v>1200</v>
      </c>
      <c r="G475" s="28" t="s">
        <v>1247</v>
      </c>
      <c r="H475" s="28" t="s">
        <v>1232</v>
      </c>
      <c r="I475" s="28" t="s">
        <v>1216</v>
      </c>
      <c r="J475" s="28" t="s">
        <v>1201</v>
      </c>
      <c r="K475" s="26"/>
    </row>
    <row r="476" spans="1:11">
      <c r="C476" s="17" t="s">
        <v>474</v>
      </c>
      <c r="D476" s="17" t="s">
        <v>464</v>
      </c>
      <c r="E476" s="17" t="s">
        <v>475</v>
      </c>
      <c r="F476" s="17" t="s">
        <v>476</v>
      </c>
      <c r="G476" s="17" t="s">
        <v>477</v>
      </c>
      <c r="H476" s="17" t="s">
        <v>478</v>
      </c>
      <c r="I476" s="17" t="s">
        <v>479</v>
      </c>
      <c r="J476" s="17" t="s">
        <v>480</v>
      </c>
      <c r="K476" s="17" t="s">
        <v>481</v>
      </c>
    </row>
    <row r="477" spans="1:11">
      <c r="C477" s="17" t="s">
        <v>1248</v>
      </c>
      <c r="D477" s="17" t="s">
        <v>1201</v>
      </c>
      <c r="E477" s="17" t="s">
        <v>1249</v>
      </c>
      <c r="F477" s="17" t="s">
        <v>1250</v>
      </c>
      <c r="G477" s="17" t="s">
        <v>236</v>
      </c>
      <c r="H477" s="17" t="s">
        <v>1251</v>
      </c>
      <c r="I477" s="17" t="s">
        <v>1252</v>
      </c>
      <c r="J477" s="17" t="s">
        <v>1253</v>
      </c>
      <c r="K477" s="17" t="s">
        <v>1254</v>
      </c>
    </row>
    <row r="478" spans="1:11">
      <c r="C478" s="17" t="s">
        <v>485</v>
      </c>
      <c r="D478" s="17" t="s">
        <v>486</v>
      </c>
      <c r="E478" s="17" t="s">
        <v>487</v>
      </c>
      <c r="F478" s="17" t="s">
        <v>488</v>
      </c>
      <c r="G478" s="17" t="s">
        <v>489</v>
      </c>
      <c r="H478" s="17" t="s">
        <v>490</v>
      </c>
      <c r="I478" s="26"/>
      <c r="J478" s="26"/>
      <c r="K478" s="26"/>
    </row>
    <row r="479" spans="1:11">
      <c r="C479" s="33" t="s">
        <v>1255</v>
      </c>
      <c r="D479" s="33" t="s">
        <v>1256</v>
      </c>
      <c r="E479" s="33" t="s">
        <v>1257</v>
      </c>
      <c r="F479" s="33" t="s">
        <v>1258</v>
      </c>
      <c r="G479" s="33" t="s">
        <v>1259</v>
      </c>
      <c r="H479" s="33" t="s">
        <v>1260</v>
      </c>
      <c r="I479" s="26"/>
      <c r="J479" s="26"/>
      <c r="K479" s="26"/>
    </row>
    <row r="480" spans="1:11">
      <c r="C480" s="17" t="s">
        <v>491</v>
      </c>
      <c r="D480" s="17" t="s">
        <v>492</v>
      </c>
      <c r="E480" s="17" t="s">
        <v>493</v>
      </c>
      <c r="F480" s="17" t="s">
        <v>494</v>
      </c>
      <c r="G480" s="17" t="s">
        <v>495</v>
      </c>
      <c r="H480" s="17" t="s">
        <v>496</v>
      </c>
      <c r="I480" s="17" t="s">
        <v>497</v>
      </c>
      <c r="J480" s="17" t="s">
        <v>498</v>
      </c>
      <c r="K480" s="26"/>
    </row>
    <row r="481" spans="1:11">
      <c r="B481" s="1" t="s">
        <v>406</v>
      </c>
      <c r="C481" s="29" t="s">
        <v>1261</v>
      </c>
      <c r="D481" s="29" t="s">
        <v>1246</v>
      </c>
      <c r="E481" s="29" t="s">
        <v>1230</v>
      </c>
      <c r="F481" s="29" t="s">
        <v>1215</v>
      </c>
      <c r="G481" s="29" t="s">
        <v>1262</v>
      </c>
      <c r="H481" s="29" t="s">
        <v>1247</v>
      </c>
      <c r="I481" s="29" t="s">
        <v>1232</v>
      </c>
      <c r="J481" s="29" t="s">
        <v>1216</v>
      </c>
      <c r="K481" s="26"/>
    </row>
    <row r="482" spans="1:11">
      <c r="B482" s="1"/>
      <c r="C482" s="26"/>
      <c r="D482" s="26"/>
      <c r="E482" s="26"/>
      <c r="F482" s="26"/>
      <c r="G482" s="26"/>
      <c r="H482" s="26"/>
      <c r="I482" s="26"/>
      <c r="J482" s="26"/>
      <c r="K482" s="26"/>
    </row>
    <row r="483" spans="1:11">
      <c r="A483" s="7" t="s">
        <v>404</v>
      </c>
      <c r="B483" s="26">
        <v>54</v>
      </c>
      <c r="C483" s="27" t="s">
        <v>457</v>
      </c>
      <c r="D483" s="27" t="s">
        <v>458</v>
      </c>
      <c r="E483" s="27" t="s">
        <v>459</v>
      </c>
      <c r="F483" s="27" t="s">
        <v>460</v>
      </c>
      <c r="G483" s="27" t="s">
        <v>461</v>
      </c>
      <c r="H483" s="27" t="s">
        <v>462</v>
      </c>
      <c r="I483" s="27" t="s">
        <v>463</v>
      </c>
      <c r="J483" s="27" t="s">
        <v>464</v>
      </c>
      <c r="K483" s="26"/>
    </row>
    <row r="484" spans="1:11">
      <c r="B484" s="1" t="s">
        <v>408</v>
      </c>
      <c r="C484" s="28" t="s">
        <v>1261</v>
      </c>
      <c r="D484" s="28" t="s">
        <v>1246</v>
      </c>
      <c r="E484" s="28" t="s">
        <v>1230</v>
      </c>
      <c r="F484" s="28" t="s">
        <v>1215</v>
      </c>
      <c r="G484" s="28" t="s">
        <v>1262</v>
      </c>
      <c r="H484" s="28" t="s">
        <v>1247</v>
      </c>
      <c r="I484" s="28" t="s">
        <v>1232</v>
      </c>
      <c r="J484" s="28" t="s">
        <v>1216</v>
      </c>
      <c r="K484" s="26"/>
    </row>
    <row r="485" spans="1:11">
      <c r="C485" s="17" t="s">
        <v>474</v>
      </c>
      <c r="D485" s="17" t="s">
        <v>464</v>
      </c>
      <c r="E485" s="17" t="s">
        <v>475</v>
      </c>
      <c r="F485" s="17" t="s">
        <v>476</v>
      </c>
      <c r="G485" s="17" t="s">
        <v>477</v>
      </c>
      <c r="H485" s="17" t="s">
        <v>478</v>
      </c>
      <c r="I485" s="17" t="s">
        <v>479</v>
      </c>
      <c r="J485" s="17" t="s">
        <v>480</v>
      </c>
      <c r="K485" s="17" t="s">
        <v>481</v>
      </c>
    </row>
    <row r="486" spans="1:11">
      <c r="C486" s="17" t="s">
        <v>1263</v>
      </c>
      <c r="D486" s="17" t="s">
        <v>1216</v>
      </c>
      <c r="E486" s="17" t="s">
        <v>1264</v>
      </c>
      <c r="F486" s="17" t="s">
        <v>1265</v>
      </c>
      <c r="G486" s="17" t="s">
        <v>237</v>
      </c>
      <c r="H486" s="17" t="s">
        <v>1266</v>
      </c>
      <c r="I486" s="17" t="s">
        <v>1267</v>
      </c>
      <c r="J486" s="17" t="s">
        <v>1268</v>
      </c>
      <c r="K486" s="17" t="s">
        <v>1269</v>
      </c>
    </row>
    <row r="487" spans="1:11">
      <c r="C487" s="17" t="s">
        <v>485</v>
      </c>
      <c r="D487" s="17" t="s">
        <v>486</v>
      </c>
      <c r="E487" s="17" t="s">
        <v>487</v>
      </c>
      <c r="F487" s="17" t="s">
        <v>488</v>
      </c>
      <c r="G487" s="17" t="s">
        <v>489</v>
      </c>
      <c r="H487" s="17" t="s">
        <v>490</v>
      </c>
      <c r="I487" s="26"/>
      <c r="J487" s="26"/>
      <c r="K487" s="26"/>
    </row>
    <row r="488" spans="1:11">
      <c r="C488" s="33" t="s">
        <v>1270</v>
      </c>
      <c r="D488" s="33" t="s">
        <v>1271</v>
      </c>
      <c r="E488" s="33" t="s">
        <v>1272</v>
      </c>
      <c r="F488" s="33" t="s">
        <v>1273</v>
      </c>
      <c r="G488" s="33" t="s">
        <v>1274</v>
      </c>
      <c r="H488" s="33" t="s">
        <v>1275</v>
      </c>
      <c r="I488" s="26"/>
      <c r="J488" s="26"/>
      <c r="K488" s="26"/>
    </row>
    <row r="489" spans="1:11">
      <c r="C489" s="17" t="s">
        <v>491</v>
      </c>
      <c r="D489" s="17" t="s">
        <v>492</v>
      </c>
      <c r="E489" s="17" t="s">
        <v>493</v>
      </c>
      <c r="F489" s="17" t="s">
        <v>494</v>
      </c>
      <c r="G489" s="17" t="s">
        <v>495</v>
      </c>
      <c r="H489" s="17" t="s">
        <v>496</v>
      </c>
      <c r="I489" s="17" t="s">
        <v>497</v>
      </c>
      <c r="J489" s="17" t="s">
        <v>498</v>
      </c>
      <c r="K489" s="26"/>
    </row>
    <row r="490" spans="1:11">
      <c r="B490" s="1" t="s">
        <v>409</v>
      </c>
      <c r="C490" s="29" t="s">
        <v>1276</v>
      </c>
      <c r="D490" s="29" t="s">
        <v>1261</v>
      </c>
      <c r="E490" s="29" t="s">
        <v>1246</v>
      </c>
      <c r="F490" s="29" t="s">
        <v>1230</v>
      </c>
      <c r="G490" s="29" t="s">
        <v>1277</v>
      </c>
      <c r="H490" s="29" t="s">
        <v>1262</v>
      </c>
      <c r="I490" s="29" t="s">
        <v>1247</v>
      </c>
      <c r="J490" s="29" t="s">
        <v>1232</v>
      </c>
      <c r="K490" s="26"/>
    </row>
    <row r="491" spans="1:11">
      <c r="B491" s="1"/>
      <c r="C491" s="26"/>
      <c r="D491" s="26"/>
      <c r="E491" s="26"/>
      <c r="F491" s="26"/>
      <c r="G491" s="26"/>
      <c r="H491" s="26"/>
      <c r="I491" s="26"/>
      <c r="J491" s="26"/>
      <c r="K491" s="26"/>
    </row>
    <row r="492" spans="1:11">
      <c r="A492" s="7" t="s">
        <v>407</v>
      </c>
      <c r="B492" s="26">
        <v>55</v>
      </c>
      <c r="C492" s="27" t="s">
        <v>457</v>
      </c>
      <c r="D492" s="27" t="s">
        <v>458</v>
      </c>
      <c r="E492" s="27" t="s">
        <v>459</v>
      </c>
      <c r="F492" s="27" t="s">
        <v>460</v>
      </c>
      <c r="G492" s="27" t="s">
        <v>461</v>
      </c>
      <c r="H492" s="27" t="s">
        <v>462</v>
      </c>
      <c r="I492" s="27" t="s">
        <v>463</v>
      </c>
      <c r="J492" s="27" t="s">
        <v>464</v>
      </c>
      <c r="K492" s="26"/>
    </row>
    <row r="493" spans="1:11">
      <c r="B493" s="1" t="s">
        <v>411</v>
      </c>
      <c r="C493" s="28" t="s">
        <v>1276</v>
      </c>
      <c r="D493" s="28" t="s">
        <v>1261</v>
      </c>
      <c r="E493" s="28" t="s">
        <v>1246</v>
      </c>
      <c r="F493" s="28" t="s">
        <v>1230</v>
      </c>
      <c r="G493" s="28" t="s">
        <v>1277</v>
      </c>
      <c r="H493" s="28" t="s">
        <v>1262</v>
      </c>
      <c r="I493" s="28" t="s">
        <v>1247</v>
      </c>
      <c r="J493" s="28" t="s">
        <v>1232</v>
      </c>
      <c r="K493" s="26"/>
    </row>
    <row r="494" spans="1:11">
      <c r="C494" s="17" t="s">
        <v>474</v>
      </c>
      <c r="D494" s="17" t="s">
        <v>464</v>
      </c>
      <c r="E494" s="17" t="s">
        <v>475</v>
      </c>
      <c r="F494" s="17" t="s">
        <v>476</v>
      </c>
      <c r="G494" s="17" t="s">
        <v>477</v>
      </c>
      <c r="H494" s="17" t="s">
        <v>478</v>
      </c>
      <c r="I494" s="17" t="s">
        <v>479</v>
      </c>
      <c r="J494" s="17" t="s">
        <v>480</v>
      </c>
      <c r="K494" s="17" t="s">
        <v>481</v>
      </c>
    </row>
    <row r="495" spans="1:11">
      <c r="C495" s="17" t="s">
        <v>1278</v>
      </c>
      <c r="D495" s="17" t="s">
        <v>1232</v>
      </c>
      <c r="E495" s="17" t="s">
        <v>1279</v>
      </c>
      <c r="F495" s="17" t="s">
        <v>1280</v>
      </c>
      <c r="G495" s="17" t="s">
        <v>238</v>
      </c>
      <c r="H495" s="17" t="s">
        <v>1281</v>
      </c>
      <c r="I495" s="17" t="s">
        <v>1282</v>
      </c>
      <c r="J495" s="17" t="s">
        <v>1283</v>
      </c>
      <c r="K495" s="17" t="s">
        <v>1284</v>
      </c>
    </row>
    <row r="496" spans="1:11">
      <c r="C496" s="17" t="s">
        <v>485</v>
      </c>
      <c r="D496" s="17" t="s">
        <v>486</v>
      </c>
      <c r="E496" s="17" t="s">
        <v>487</v>
      </c>
      <c r="F496" s="17" t="s">
        <v>488</v>
      </c>
      <c r="G496" s="17" t="s">
        <v>489</v>
      </c>
      <c r="H496" s="17" t="s">
        <v>490</v>
      </c>
      <c r="I496" s="26"/>
      <c r="J496" s="26"/>
      <c r="K496" s="26"/>
    </row>
    <row r="497" spans="1:11">
      <c r="C497" s="33" t="s">
        <v>1285</v>
      </c>
      <c r="D497" s="33" t="s">
        <v>1286</v>
      </c>
      <c r="E497" s="33" t="s">
        <v>1287</v>
      </c>
      <c r="F497" s="33" t="s">
        <v>1288</v>
      </c>
      <c r="G497" s="33" t="s">
        <v>1289</v>
      </c>
      <c r="H497" s="33" t="s">
        <v>1290</v>
      </c>
      <c r="I497" s="26"/>
      <c r="J497" s="26"/>
      <c r="K497" s="26"/>
    </row>
    <row r="498" spans="1:11">
      <c r="C498" s="17" t="s">
        <v>491</v>
      </c>
      <c r="D498" s="17" t="s">
        <v>492</v>
      </c>
      <c r="E498" s="17" t="s">
        <v>493</v>
      </c>
      <c r="F498" s="17" t="s">
        <v>494</v>
      </c>
      <c r="G498" s="17" t="s">
        <v>495</v>
      </c>
      <c r="H498" s="17" t="s">
        <v>496</v>
      </c>
      <c r="I498" s="17" t="s">
        <v>497</v>
      </c>
      <c r="J498" s="17" t="s">
        <v>498</v>
      </c>
      <c r="K498" s="26"/>
    </row>
    <row r="499" spans="1:11">
      <c r="B499" s="1" t="s">
        <v>412</v>
      </c>
      <c r="C499" s="29" t="s">
        <v>1291</v>
      </c>
      <c r="D499" s="29" t="s">
        <v>1276</v>
      </c>
      <c r="E499" s="29" t="s">
        <v>1261</v>
      </c>
      <c r="F499" s="29" t="s">
        <v>1246</v>
      </c>
      <c r="G499" s="29" t="s">
        <v>1292</v>
      </c>
      <c r="H499" s="29" t="s">
        <v>1277</v>
      </c>
      <c r="I499" s="29" t="s">
        <v>1262</v>
      </c>
      <c r="J499" s="29" t="s">
        <v>1247</v>
      </c>
      <c r="K499" s="26"/>
    </row>
    <row r="500" spans="1:11">
      <c r="B500" s="1"/>
      <c r="C500" s="26"/>
      <c r="D500" s="26"/>
      <c r="E500" s="26"/>
      <c r="F500" s="26"/>
      <c r="G500" s="26"/>
      <c r="H500" s="26"/>
      <c r="I500" s="26"/>
      <c r="J500" s="26"/>
      <c r="K500" s="26"/>
    </row>
    <row r="501" spans="1:11">
      <c r="A501" s="7" t="s">
        <v>410</v>
      </c>
      <c r="B501" s="26">
        <v>56</v>
      </c>
      <c r="C501" s="27" t="s">
        <v>457</v>
      </c>
      <c r="D501" s="27" t="s">
        <v>458</v>
      </c>
      <c r="E501" s="27" t="s">
        <v>459</v>
      </c>
      <c r="F501" s="27" t="s">
        <v>460</v>
      </c>
      <c r="G501" s="27" t="s">
        <v>461</v>
      </c>
      <c r="H501" s="27" t="s">
        <v>462</v>
      </c>
      <c r="I501" s="27" t="s">
        <v>463</v>
      </c>
      <c r="J501" s="27" t="s">
        <v>464</v>
      </c>
      <c r="K501" s="26"/>
    </row>
    <row r="502" spans="1:11">
      <c r="B502" s="1" t="s">
        <v>414</v>
      </c>
      <c r="C502" s="28" t="s">
        <v>1291</v>
      </c>
      <c r="D502" s="28" t="s">
        <v>1276</v>
      </c>
      <c r="E502" s="28" t="s">
        <v>1261</v>
      </c>
      <c r="F502" s="28" t="s">
        <v>1246</v>
      </c>
      <c r="G502" s="28" t="s">
        <v>1293</v>
      </c>
      <c r="H502" s="28" t="s">
        <v>1277</v>
      </c>
      <c r="I502" s="28" t="s">
        <v>1262</v>
      </c>
      <c r="J502" s="28" t="s">
        <v>1247</v>
      </c>
      <c r="K502" s="26"/>
    </row>
    <row r="503" spans="1:11">
      <c r="C503" s="17" t="s">
        <v>474</v>
      </c>
      <c r="D503" s="17" t="s">
        <v>464</v>
      </c>
      <c r="E503" s="17" t="s">
        <v>475</v>
      </c>
      <c r="F503" s="17" t="s">
        <v>476</v>
      </c>
      <c r="G503" s="17" t="s">
        <v>477</v>
      </c>
      <c r="H503" s="17" t="s">
        <v>478</v>
      </c>
      <c r="I503" s="17" t="s">
        <v>479</v>
      </c>
      <c r="J503" s="17" t="s">
        <v>480</v>
      </c>
      <c r="K503" s="17" t="s">
        <v>481</v>
      </c>
    </row>
    <row r="504" spans="1:11">
      <c r="C504" s="17" t="s">
        <v>1294</v>
      </c>
      <c r="D504" s="17" t="s">
        <v>1247</v>
      </c>
      <c r="E504" s="17" t="s">
        <v>1295</v>
      </c>
      <c r="F504" s="17" t="s">
        <v>1296</v>
      </c>
      <c r="G504" s="17" t="s">
        <v>239</v>
      </c>
      <c r="H504" s="17" t="s">
        <v>1297</v>
      </c>
      <c r="I504" s="17" t="s">
        <v>1298</v>
      </c>
      <c r="J504" s="17" t="s">
        <v>1299</v>
      </c>
      <c r="K504" s="17" t="s">
        <v>1300</v>
      </c>
    </row>
    <row r="505" spans="1:11">
      <c r="C505" s="17" t="s">
        <v>485</v>
      </c>
      <c r="D505" s="17" t="s">
        <v>486</v>
      </c>
      <c r="E505" s="17" t="s">
        <v>487</v>
      </c>
      <c r="F505" s="17" t="s">
        <v>488</v>
      </c>
      <c r="G505" s="17" t="s">
        <v>489</v>
      </c>
      <c r="H505" s="17" t="s">
        <v>490</v>
      </c>
      <c r="I505" s="26"/>
      <c r="J505" s="26"/>
      <c r="K505" s="26"/>
    </row>
    <row r="506" spans="1:11">
      <c r="C506" s="33" t="s">
        <v>1301</v>
      </c>
      <c r="D506" s="33" t="s">
        <v>1302</v>
      </c>
      <c r="E506" s="33" t="s">
        <v>1303</v>
      </c>
      <c r="F506" s="33" t="s">
        <v>1304</v>
      </c>
      <c r="G506" s="33" t="s">
        <v>1305</v>
      </c>
      <c r="H506" s="33" t="s">
        <v>1306</v>
      </c>
      <c r="I506" s="26"/>
      <c r="J506" s="26"/>
      <c r="K506" s="26"/>
    </row>
    <row r="507" spans="1:11">
      <c r="C507" s="17" t="s">
        <v>491</v>
      </c>
      <c r="D507" s="17" t="s">
        <v>492</v>
      </c>
      <c r="E507" s="17" t="s">
        <v>493</v>
      </c>
      <c r="F507" s="17" t="s">
        <v>494</v>
      </c>
      <c r="G507" s="17" t="s">
        <v>495</v>
      </c>
      <c r="H507" s="17" t="s">
        <v>496</v>
      </c>
      <c r="I507" s="17" t="s">
        <v>497</v>
      </c>
      <c r="J507" s="17" t="s">
        <v>498</v>
      </c>
      <c r="K507" s="26"/>
    </row>
    <row r="508" spans="1:11">
      <c r="B508" s="1" t="s">
        <v>415</v>
      </c>
      <c r="C508" s="29" t="s">
        <v>1307</v>
      </c>
      <c r="D508" s="29" t="s">
        <v>1291</v>
      </c>
      <c r="E508" s="29" t="s">
        <v>1276</v>
      </c>
      <c r="F508" s="29" t="s">
        <v>1261</v>
      </c>
      <c r="G508" s="29" t="s">
        <v>1308</v>
      </c>
      <c r="H508" s="29" t="s">
        <v>1293</v>
      </c>
      <c r="I508" s="29" t="s">
        <v>1277</v>
      </c>
      <c r="J508" s="29" t="s">
        <v>1262</v>
      </c>
      <c r="K508" s="26"/>
    </row>
    <row r="509" spans="1:11">
      <c r="B509" s="1"/>
      <c r="C509" s="26"/>
      <c r="D509" s="26"/>
      <c r="E509" s="26"/>
      <c r="F509" s="26"/>
      <c r="G509" s="26"/>
      <c r="H509" s="26"/>
      <c r="I509" s="26"/>
      <c r="J509" s="26"/>
      <c r="K509" s="26"/>
    </row>
    <row r="510" spans="1:11">
      <c r="A510" s="7" t="s">
        <v>413</v>
      </c>
      <c r="B510" s="26">
        <v>57</v>
      </c>
      <c r="C510" s="27" t="s">
        <v>457</v>
      </c>
      <c r="D510" s="27" t="s">
        <v>458</v>
      </c>
      <c r="E510" s="27" t="s">
        <v>459</v>
      </c>
      <c r="F510" s="27" t="s">
        <v>460</v>
      </c>
      <c r="G510" s="27" t="s">
        <v>461</v>
      </c>
      <c r="H510" s="27" t="s">
        <v>462</v>
      </c>
      <c r="I510" s="27" t="s">
        <v>463</v>
      </c>
      <c r="J510" s="27" t="s">
        <v>464</v>
      </c>
      <c r="K510" s="26"/>
    </row>
    <row r="511" spans="1:11">
      <c r="B511" s="1" t="s">
        <v>417</v>
      </c>
      <c r="C511" s="28" t="s">
        <v>1309</v>
      </c>
      <c r="D511" s="28" t="s">
        <v>1291</v>
      </c>
      <c r="E511" s="28" t="s">
        <v>1276</v>
      </c>
      <c r="F511" s="28" t="s">
        <v>1261</v>
      </c>
      <c r="G511" s="28" t="s">
        <v>1308</v>
      </c>
      <c r="H511" s="28" t="s">
        <v>1293</v>
      </c>
      <c r="I511" s="28" t="s">
        <v>1277</v>
      </c>
      <c r="J511" s="28" t="s">
        <v>1262</v>
      </c>
      <c r="K511" s="26"/>
    </row>
    <row r="512" spans="1:11">
      <c r="C512" s="17" t="s">
        <v>474</v>
      </c>
      <c r="D512" s="17" t="s">
        <v>464</v>
      </c>
      <c r="E512" s="17" t="s">
        <v>475</v>
      </c>
      <c r="F512" s="17" t="s">
        <v>476</v>
      </c>
      <c r="G512" s="17" t="s">
        <v>477</v>
      </c>
      <c r="H512" s="17" t="s">
        <v>478</v>
      </c>
      <c r="I512" s="17" t="s">
        <v>479</v>
      </c>
      <c r="J512" s="17" t="s">
        <v>480</v>
      </c>
      <c r="K512" s="17" t="s">
        <v>481</v>
      </c>
    </row>
    <row r="513" spans="1:11">
      <c r="C513" s="17" t="s">
        <v>1310</v>
      </c>
      <c r="D513" s="17" t="s">
        <v>1262</v>
      </c>
      <c r="E513" s="17" t="s">
        <v>1311</v>
      </c>
      <c r="F513" s="17" t="s">
        <v>1312</v>
      </c>
      <c r="G513" s="17" t="s">
        <v>240</v>
      </c>
      <c r="H513" s="17" t="s">
        <v>1313</v>
      </c>
      <c r="I513" s="17" t="s">
        <v>1314</v>
      </c>
      <c r="J513" s="17" t="s">
        <v>1315</v>
      </c>
      <c r="K513" s="17" t="s">
        <v>1316</v>
      </c>
    </row>
    <row r="514" spans="1:11">
      <c r="C514" s="17" t="s">
        <v>485</v>
      </c>
      <c r="D514" s="17" t="s">
        <v>486</v>
      </c>
      <c r="E514" s="17" t="s">
        <v>487</v>
      </c>
      <c r="F514" s="17" t="s">
        <v>488</v>
      </c>
      <c r="G514" s="17" t="s">
        <v>489</v>
      </c>
      <c r="H514" s="17" t="s">
        <v>490</v>
      </c>
      <c r="I514" s="26"/>
      <c r="J514" s="26"/>
      <c r="K514" s="26"/>
    </row>
    <row r="515" spans="1:11">
      <c r="C515" s="33" t="s">
        <v>1317</v>
      </c>
      <c r="D515" s="33" t="s">
        <v>1318</v>
      </c>
      <c r="E515" s="33" t="s">
        <v>1319</v>
      </c>
      <c r="F515" s="33" t="s">
        <v>1320</v>
      </c>
      <c r="G515" s="33" t="s">
        <v>1321</v>
      </c>
      <c r="H515" s="33" t="s">
        <v>1322</v>
      </c>
      <c r="I515" s="26"/>
      <c r="J515" s="26"/>
      <c r="K515" s="26"/>
    </row>
    <row r="516" spans="1:11">
      <c r="C516" s="17" t="s">
        <v>491</v>
      </c>
      <c r="D516" s="17" t="s">
        <v>492</v>
      </c>
      <c r="E516" s="17" t="s">
        <v>493</v>
      </c>
      <c r="F516" s="17" t="s">
        <v>494</v>
      </c>
      <c r="G516" s="17" t="s">
        <v>495</v>
      </c>
      <c r="H516" s="17" t="s">
        <v>496</v>
      </c>
      <c r="I516" s="17" t="s">
        <v>497</v>
      </c>
      <c r="J516" s="17" t="s">
        <v>498</v>
      </c>
      <c r="K516" s="26"/>
    </row>
    <row r="517" spans="1:11">
      <c r="B517" s="1" t="s">
        <v>418</v>
      </c>
      <c r="C517" s="29" t="s">
        <v>1323</v>
      </c>
      <c r="D517" s="29" t="s">
        <v>1309</v>
      </c>
      <c r="E517" s="29" t="s">
        <v>1291</v>
      </c>
      <c r="F517" s="29" t="s">
        <v>1276</v>
      </c>
      <c r="G517" s="29" t="s">
        <v>1324</v>
      </c>
      <c r="H517" s="29" t="s">
        <v>1308</v>
      </c>
      <c r="I517" s="29" t="s">
        <v>1293</v>
      </c>
      <c r="J517" s="29" t="s">
        <v>1277</v>
      </c>
      <c r="K517" s="26"/>
    </row>
    <row r="518" spans="1:11">
      <c r="B518" s="1"/>
      <c r="C518" s="26"/>
      <c r="D518" s="26"/>
      <c r="E518" s="26"/>
      <c r="F518" s="26"/>
      <c r="G518" s="26"/>
      <c r="H518" s="26"/>
      <c r="I518" s="26"/>
      <c r="J518" s="26"/>
      <c r="K518" s="26"/>
    </row>
    <row r="519" spans="1:11">
      <c r="A519" s="7" t="s">
        <v>416</v>
      </c>
      <c r="B519" s="26">
        <v>58</v>
      </c>
      <c r="C519" s="27" t="s">
        <v>457</v>
      </c>
      <c r="D519" s="27" t="s">
        <v>458</v>
      </c>
      <c r="E519" s="27" t="s">
        <v>459</v>
      </c>
      <c r="F519" s="27" t="s">
        <v>460</v>
      </c>
      <c r="G519" s="27" t="s">
        <v>461</v>
      </c>
      <c r="H519" s="27" t="s">
        <v>462</v>
      </c>
      <c r="I519" s="27" t="s">
        <v>463</v>
      </c>
      <c r="J519" s="27" t="s">
        <v>464</v>
      </c>
      <c r="K519" s="26"/>
    </row>
    <row r="520" spans="1:11">
      <c r="B520" s="1" t="s">
        <v>420</v>
      </c>
      <c r="C520" s="28" t="s">
        <v>1323</v>
      </c>
      <c r="D520" s="28" t="s">
        <v>1309</v>
      </c>
      <c r="E520" s="28" t="s">
        <v>1291</v>
      </c>
      <c r="F520" s="28" t="s">
        <v>1276</v>
      </c>
      <c r="G520" s="28" t="s">
        <v>1324</v>
      </c>
      <c r="H520" s="28" t="s">
        <v>1308</v>
      </c>
      <c r="I520" s="28" t="s">
        <v>1293</v>
      </c>
      <c r="J520" s="28" t="s">
        <v>1277</v>
      </c>
      <c r="K520" s="26"/>
    </row>
    <row r="521" spans="1:11">
      <c r="C521" s="17" t="s">
        <v>474</v>
      </c>
      <c r="D521" s="17" t="s">
        <v>464</v>
      </c>
      <c r="E521" s="17" t="s">
        <v>475</v>
      </c>
      <c r="F521" s="17" t="s">
        <v>476</v>
      </c>
      <c r="G521" s="17" t="s">
        <v>477</v>
      </c>
      <c r="H521" s="17" t="s">
        <v>478</v>
      </c>
      <c r="I521" s="17" t="s">
        <v>479</v>
      </c>
      <c r="J521" s="17" t="s">
        <v>480</v>
      </c>
      <c r="K521" s="17" t="s">
        <v>481</v>
      </c>
    </row>
    <row r="522" spans="1:11">
      <c r="C522" s="17" t="s">
        <v>1325</v>
      </c>
      <c r="D522" s="17" t="s">
        <v>1277</v>
      </c>
      <c r="E522" s="17" t="s">
        <v>1326</v>
      </c>
      <c r="F522" s="17" t="s">
        <v>1327</v>
      </c>
      <c r="G522" s="17" t="s">
        <v>241</v>
      </c>
      <c r="H522" s="17" t="s">
        <v>1328</v>
      </c>
      <c r="I522" s="17" t="s">
        <v>1329</v>
      </c>
      <c r="J522" s="17" t="s">
        <v>1330</v>
      </c>
      <c r="K522" s="17" t="s">
        <v>1331</v>
      </c>
    </row>
    <row r="523" spans="1:11">
      <c r="C523" s="17" t="s">
        <v>485</v>
      </c>
      <c r="D523" s="17" t="s">
        <v>486</v>
      </c>
      <c r="E523" s="17" t="s">
        <v>487</v>
      </c>
      <c r="F523" s="17" t="s">
        <v>488</v>
      </c>
      <c r="G523" s="17" t="s">
        <v>489</v>
      </c>
      <c r="H523" s="17" t="s">
        <v>490</v>
      </c>
      <c r="I523" s="26"/>
      <c r="J523" s="26"/>
      <c r="K523" s="26"/>
    </row>
    <row r="524" spans="1:11">
      <c r="C524" s="33" t="s">
        <v>1332</v>
      </c>
      <c r="D524" s="33" t="s">
        <v>1333</v>
      </c>
      <c r="E524" s="33" t="s">
        <v>1334</v>
      </c>
      <c r="F524" s="33" t="s">
        <v>1335</v>
      </c>
      <c r="G524" s="33" t="s">
        <v>1336</v>
      </c>
      <c r="H524" s="33" t="s">
        <v>1337</v>
      </c>
      <c r="I524" s="26"/>
      <c r="J524" s="26"/>
      <c r="K524" s="26"/>
    </row>
    <row r="525" spans="1:11">
      <c r="C525" s="17" t="s">
        <v>491</v>
      </c>
      <c r="D525" s="17" t="s">
        <v>492</v>
      </c>
      <c r="E525" s="17" t="s">
        <v>493</v>
      </c>
      <c r="F525" s="17" t="s">
        <v>494</v>
      </c>
      <c r="G525" s="17" t="s">
        <v>495</v>
      </c>
      <c r="H525" s="17" t="s">
        <v>496</v>
      </c>
      <c r="I525" s="17" t="s">
        <v>497</v>
      </c>
      <c r="J525" s="17" t="s">
        <v>498</v>
      </c>
      <c r="K525" s="26"/>
    </row>
    <row r="526" spans="1:11">
      <c r="B526" s="1" t="s">
        <v>421</v>
      </c>
      <c r="C526" s="29" t="s">
        <v>1338</v>
      </c>
      <c r="D526" s="29" t="s">
        <v>1323</v>
      </c>
      <c r="E526" s="29" t="s">
        <v>1309</v>
      </c>
      <c r="F526" s="29" t="s">
        <v>1291</v>
      </c>
      <c r="G526" s="29" t="s">
        <v>1339</v>
      </c>
      <c r="H526" s="29" t="s">
        <v>1324</v>
      </c>
      <c r="I526" s="29" t="s">
        <v>1308</v>
      </c>
      <c r="J526" s="29" t="s">
        <v>1293</v>
      </c>
      <c r="K526" s="26"/>
    </row>
    <row r="527" spans="1:11">
      <c r="B527" s="1"/>
      <c r="C527" s="26"/>
      <c r="D527" s="26"/>
      <c r="E527" s="26"/>
      <c r="F527" s="26"/>
      <c r="G527" s="26"/>
      <c r="H527" s="26"/>
      <c r="I527" s="26"/>
      <c r="J527" s="26"/>
      <c r="K527" s="26"/>
    </row>
    <row r="528" spans="1:11">
      <c r="A528" s="7" t="s">
        <v>419</v>
      </c>
      <c r="B528" s="26">
        <v>59</v>
      </c>
      <c r="C528" s="27" t="s">
        <v>457</v>
      </c>
      <c r="D528" s="27" t="s">
        <v>458</v>
      </c>
      <c r="E528" s="27" t="s">
        <v>459</v>
      </c>
      <c r="F528" s="27" t="s">
        <v>460</v>
      </c>
      <c r="G528" s="27" t="s">
        <v>461</v>
      </c>
      <c r="H528" s="27" t="s">
        <v>462</v>
      </c>
      <c r="I528" s="27" t="s">
        <v>463</v>
      </c>
      <c r="J528" s="27" t="s">
        <v>464</v>
      </c>
      <c r="K528" s="26"/>
    </row>
    <row r="529" spans="1:11">
      <c r="B529" s="1" t="s">
        <v>423</v>
      </c>
      <c r="C529" s="28" t="s">
        <v>1338</v>
      </c>
      <c r="D529" s="28" t="s">
        <v>1323</v>
      </c>
      <c r="E529" s="28" t="s">
        <v>1309</v>
      </c>
      <c r="F529" s="28" t="s">
        <v>1291</v>
      </c>
      <c r="G529" s="28" t="s">
        <v>1339</v>
      </c>
      <c r="H529" s="28" t="s">
        <v>1324</v>
      </c>
      <c r="I529" s="28" t="s">
        <v>1308</v>
      </c>
      <c r="J529" s="28" t="s">
        <v>1293</v>
      </c>
      <c r="K529" s="26"/>
    </row>
    <row r="530" spans="1:11">
      <c r="C530" s="17" t="s">
        <v>474</v>
      </c>
      <c r="D530" s="17" t="s">
        <v>464</v>
      </c>
      <c r="E530" s="17" t="s">
        <v>475</v>
      </c>
      <c r="F530" s="17" t="s">
        <v>476</v>
      </c>
      <c r="G530" s="17" t="s">
        <v>477</v>
      </c>
      <c r="H530" s="17" t="s">
        <v>478</v>
      </c>
      <c r="I530" s="17" t="s">
        <v>479</v>
      </c>
      <c r="J530" s="17" t="s">
        <v>480</v>
      </c>
      <c r="K530" s="17" t="s">
        <v>481</v>
      </c>
    </row>
    <row r="531" spans="1:11">
      <c r="C531" s="17" t="s">
        <v>1340</v>
      </c>
      <c r="D531" s="17" t="s">
        <v>1293</v>
      </c>
      <c r="E531" s="17" t="s">
        <v>1341</v>
      </c>
      <c r="F531" s="17" t="s">
        <v>1342</v>
      </c>
      <c r="G531" s="17" t="s">
        <v>242</v>
      </c>
      <c r="H531" s="17" t="s">
        <v>1343</v>
      </c>
      <c r="I531" s="17" t="s">
        <v>1344</v>
      </c>
      <c r="J531" s="17" t="s">
        <v>1345</v>
      </c>
      <c r="K531" s="17" t="s">
        <v>1346</v>
      </c>
    </row>
    <row r="532" spans="1:11">
      <c r="C532" s="17" t="s">
        <v>485</v>
      </c>
      <c r="D532" s="17" t="s">
        <v>486</v>
      </c>
      <c r="E532" s="17" t="s">
        <v>487</v>
      </c>
      <c r="F532" s="17" t="s">
        <v>488</v>
      </c>
      <c r="G532" s="17" t="s">
        <v>489</v>
      </c>
      <c r="H532" s="17" t="s">
        <v>490</v>
      </c>
      <c r="I532" s="26"/>
      <c r="J532" s="26"/>
      <c r="K532" s="26"/>
    </row>
    <row r="533" spans="1:11">
      <c r="C533" s="33" t="s">
        <v>1347</v>
      </c>
      <c r="D533" s="33" t="s">
        <v>1348</v>
      </c>
      <c r="E533" s="33" t="s">
        <v>1349</v>
      </c>
      <c r="F533" s="33" t="s">
        <v>1350</v>
      </c>
      <c r="G533" s="33" t="s">
        <v>1351</v>
      </c>
      <c r="H533" s="33" t="s">
        <v>1352</v>
      </c>
      <c r="I533" s="26"/>
      <c r="J533" s="26"/>
      <c r="K533" s="26"/>
    </row>
    <row r="534" spans="1:11">
      <c r="C534" s="17" t="s">
        <v>491</v>
      </c>
      <c r="D534" s="17" t="s">
        <v>492</v>
      </c>
      <c r="E534" s="17" t="s">
        <v>493</v>
      </c>
      <c r="F534" s="17" t="s">
        <v>494</v>
      </c>
      <c r="G534" s="17" t="s">
        <v>495</v>
      </c>
      <c r="H534" s="17" t="s">
        <v>496</v>
      </c>
      <c r="I534" s="17" t="s">
        <v>497</v>
      </c>
      <c r="J534" s="17" t="s">
        <v>498</v>
      </c>
      <c r="K534" s="26"/>
    </row>
    <row r="535" spans="1:11">
      <c r="B535" s="1" t="s">
        <v>424</v>
      </c>
      <c r="C535" s="29" t="s">
        <v>1353</v>
      </c>
      <c r="D535" s="29" t="s">
        <v>1338</v>
      </c>
      <c r="E535" s="29" t="s">
        <v>1323</v>
      </c>
      <c r="F535" s="29" t="s">
        <v>1309</v>
      </c>
      <c r="G535" s="29" t="s">
        <v>1354</v>
      </c>
      <c r="H535" s="29" t="s">
        <v>1339</v>
      </c>
      <c r="I535" s="29" t="s">
        <v>1324</v>
      </c>
      <c r="J535" s="29" t="s">
        <v>1308</v>
      </c>
      <c r="K535" s="26"/>
    </row>
    <row r="536" spans="1:11">
      <c r="B536" s="1"/>
      <c r="C536" s="26"/>
      <c r="D536" s="26"/>
      <c r="E536" s="26"/>
      <c r="F536" s="26"/>
      <c r="G536" s="26"/>
      <c r="H536" s="26"/>
      <c r="I536" s="26"/>
      <c r="J536" s="26"/>
      <c r="K536" s="26"/>
    </row>
    <row r="537" spans="1:11">
      <c r="A537" s="7" t="s">
        <v>422</v>
      </c>
      <c r="B537" s="26">
        <v>60</v>
      </c>
      <c r="C537" s="27" t="s">
        <v>457</v>
      </c>
      <c r="D537" s="27" t="s">
        <v>458</v>
      </c>
      <c r="E537" s="27" t="s">
        <v>459</v>
      </c>
      <c r="F537" s="27" t="s">
        <v>460</v>
      </c>
      <c r="G537" s="27" t="s">
        <v>461</v>
      </c>
      <c r="H537" s="27" t="s">
        <v>462</v>
      </c>
      <c r="I537" s="27" t="s">
        <v>463</v>
      </c>
      <c r="J537" s="27" t="s">
        <v>464</v>
      </c>
      <c r="K537" s="26"/>
    </row>
    <row r="538" spans="1:11">
      <c r="B538" s="1" t="s">
        <v>426</v>
      </c>
      <c r="C538" s="28" t="s">
        <v>1353</v>
      </c>
      <c r="D538" s="28" t="s">
        <v>1338</v>
      </c>
      <c r="E538" s="28" t="s">
        <v>1323</v>
      </c>
      <c r="F538" s="28" t="s">
        <v>1309</v>
      </c>
      <c r="G538" s="28" t="s">
        <v>1354</v>
      </c>
      <c r="H538" s="28" t="s">
        <v>1339</v>
      </c>
      <c r="I538" s="28" t="s">
        <v>1324</v>
      </c>
      <c r="J538" s="28" t="s">
        <v>1308</v>
      </c>
      <c r="K538" s="26"/>
    </row>
    <row r="539" spans="1:11">
      <c r="C539" s="17" t="s">
        <v>474</v>
      </c>
      <c r="D539" s="17" t="s">
        <v>464</v>
      </c>
      <c r="E539" s="17" t="s">
        <v>475</v>
      </c>
      <c r="F539" s="17" t="s">
        <v>476</v>
      </c>
      <c r="G539" s="17" t="s">
        <v>477</v>
      </c>
      <c r="H539" s="17" t="s">
        <v>478</v>
      </c>
      <c r="I539" s="17" t="s">
        <v>479</v>
      </c>
      <c r="J539" s="17" t="s">
        <v>480</v>
      </c>
      <c r="K539" s="17" t="s">
        <v>481</v>
      </c>
    </row>
    <row r="540" spans="1:11">
      <c r="C540" s="17" t="s">
        <v>1355</v>
      </c>
      <c r="D540" s="17" t="s">
        <v>1308</v>
      </c>
      <c r="E540" s="17" t="s">
        <v>1356</v>
      </c>
      <c r="F540" s="17" t="s">
        <v>1357</v>
      </c>
      <c r="G540" s="17" t="s">
        <v>243</v>
      </c>
      <c r="H540" s="17" t="s">
        <v>1358</v>
      </c>
      <c r="I540" s="17" t="s">
        <v>1359</v>
      </c>
      <c r="J540" s="17" t="s">
        <v>1360</v>
      </c>
      <c r="K540" s="17" t="s">
        <v>1361</v>
      </c>
    </row>
    <row r="541" spans="1:11">
      <c r="C541" s="17" t="s">
        <v>485</v>
      </c>
      <c r="D541" s="17" t="s">
        <v>486</v>
      </c>
      <c r="E541" s="17" t="s">
        <v>487</v>
      </c>
      <c r="F541" s="17" t="s">
        <v>488</v>
      </c>
      <c r="G541" s="17" t="s">
        <v>489</v>
      </c>
      <c r="H541" s="17" t="s">
        <v>490</v>
      </c>
      <c r="I541" s="26"/>
      <c r="J541" s="26"/>
      <c r="K541" s="26"/>
    </row>
    <row r="542" spans="1:11">
      <c r="C542" s="33" t="s">
        <v>1362</v>
      </c>
      <c r="D542" s="33" t="s">
        <v>1363</v>
      </c>
      <c r="E542" s="33" t="s">
        <v>1364</v>
      </c>
      <c r="F542" s="33" t="s">
        <v>1365</v>
      </c>
      <c r="G542" s="33" t="s">
        <v>1366</v>
      </c>
      <c r="H542" s="33" t="s">
        <v>1367</v>
      </c>
      <c r="I542" s="26"/>
      <c r="J542" s="26"/>
      <c r="K542" s="26"/>
    </row>
    <row r="543" spans="1:11">
      <c r="C543" s="17" t="s">
        <v>491</v>
      </c>
      <c r="D543" s="17" t="s">
        <v>492</v>
      </c>
      <c r="E543" s="17" t="s">
        <v>493</v>
      </c>
      <c r="F543" s="17" t="s">
        <v>494</v>
      </c>
      <c r="G543" s="17" t="s">
        <v>495</v>
      </c>
      <c r="H543" s="17" t="s">
        <v>496</v>
      </c>
      <c r="I543" s="17" t="s">
        <v>497</v>
      </c>
      <c r="J543" s="17" t="s">
        <v>498</v>
      </c>
      <c r="K543" s="26"/>
    </row>
    <row r="544" spans="1:11">
      <c r="B544" s="1" t="s">
        <v>427</v>
      </c>
      <c r="C544" s="29" t="s">
        <v>1368</v>
      </c>
      <c r="D544" s="29" t="s">
        <v>1353</v>
      </c>
      <c r="E544" s="29" t="s">
        <v>1338</v>
      </c>
      <c r="F544" s="29" t="s">
        <v>1323</v>
      </c>
      <c r="G544" s="29" t="s">
        <v>1369</v>
      </c>
      <c r="H544" s="29" t="s">
        <v>1354</v>
      </c>
      <c r="I544" s="29" t="s">
        <v>1339</v>
      </c>
      <c r="J544" s="29" t="s">
        <v>1324</v>
      </c>
      <c r="K544" s="26"/>
    </row>
    <row r="545" spans="1:11">
      <c r="B545" s="1"/>
      <c r="C545" s="26"/>
      <c r="D545" s="26"/>
      <c r="E545" s="26"/>
      <c r="F545" s="26"/>
      <c r="G545" s="26"/>
      <c r="H545" s="26"/>
      <c r="I545" s="26"/>
      <c r="J545" s="26"/>
      <c r="K545" s="26"/>
    </row>
    <row r="546" spans="1:11">
      <c r="A546" s="7" t="s">
        <v>425</v>
      </c>
      <c r="B546" s="26">
        <v>61</v>
      </c>
      <c r="C546" s="27" t="s">
        <v>457</v>
      </c>
      <c r="D546" s="27" t="s">
        <v>458</v>
      </c>
      <c r="E546" s="27" t="s">
        <v>459</v>
      </c>
      <c r="F546" s="27" t="s">
        <v>460</v>
      </c>
      <c r="G546" s="27" t="s">
        <v>461</v>
      </c>
      <c r="H546" s="27" t="s">
        <v>462</v>
      </c>
      <c r="I546" s="27" t="s">
        <v>463</v>
      </c>
      <c r="J546" s="27" t="s">
        <v>464</v>
      </c>
      <c r="K546" s="26"/>
    </row>
    <row r="547" spans="1:11">
      <c r="B547" s="1" t="s">
        <v>429</v>
      </c>
      <c r="C547" s="28" t="s">
        <v>1368</v>
      </c>
      <c r="D547" s="28" t="s">
        <v>1353</v>
      </c>
      <c r="E547" s="28" t="s">
        <v>1338</v>
      </c>
      <c r="F547" s="28" t="s">
        <v>1323</v>
      </c>
      <c r="G547" s="28" t="s">
        <v>1369</v>
      </c>
      <c r="H547" s="28" t="s">
        <v>1354</v>
      </c>
      <c r="I547" s="28" t="s">
        <v>1339</v>
      </c>
      <c r="J547" s="28" t="s">
        <v>1324</v>
      </c>
      <c r="K547" s="26"/>
    </row>
    <row r="548" spans="1:11">
      <c r="C548" s="17" t="s">
        <v>474</v>
      </c>
      <c r="D548" s="17" t="s">
        <v>464</v>
      </c>
      <c r="E548" s="17" t="s">
        <v>475</v>
      </c>
      <c r="F548" s="17" t="s">
        <v>476</v>
      </c>
      <c r="G548" s="17" t="s">
        <v>477</v>
      </c>
      <c r="H548" s="17" t="s">
        <v>478</v>
      </c>
      <c r="I548" s="17" t="s">
        <v>479</v>
      </c>
      <c r="J548" s="17" t="s">
        <v>480</v>
      </c>
      <c r="K548" s="17" t="s">
        <v>481</v>
      </c>
    </row>
    <row r="549" spans="1:11">
      <c r="C549" s="17" t="s">
        <v>1370</v>
      </c>
      <c r="D549" s="17" t="s">
        <v>1324</v>
      </c>
      <c r="E549" s="17" t="s">
        <v>1371</v>
      </c>
      <c r="F549" s="17" t="s">
        <v>1372</v>
      </c>
      <c r="G549" s="17" t="s">
        <v>244</v>
      </c>
      <c r="H549" s="17" t="s">
        <v>1373</v>
      </c>
      <c r="I549" s="17" t="s">
        <v>1374</v>
      </c>
      <c r="J549" s="17" t="s">
        <v>1375</v>
      </c>
      <c r="K549" s="17" t="s">
        <v>1376</v>
      </c>
    </row>
    <row r="550" spans="1:11">
      <c r="C550" s="17" t="s">
        <v>485</v>
      </c>
      <c r="D550" s="17" t="s">
        <v>486</v>
      </c>
      <c r="E550" s="17" t="s">
        <v>487</v>
      </c>
      <c r="F550" s="17" t="s">
        <v>488</v>
      </c>
      <c r="G550" s="17" t="s">
        <v>489</v>
      </c>
      <c r="H550" s="17" t="s">
        <v>490</v>
      </c>
      <c r="I550" s="26"/>
      <c r="J550" s="26"/>
      <c r="K550" s="26"/>
    </row>
    <row r="551" spans="1:11">
      <c r="C551" s="33" t="s">
        <v>1377</v>
      </c>
      <c r="D551" s="33" t="s">
        <v>1378</v>
      </c>
      <c r="E551" s="33" t="s">
        <v>1379</v>
      </c>
      <c r="F551" s="33" t="s">
        <v>1380</v>
      </c>
      <c r="G551" s="33" t="s">
        <v>1381</v>
      </c>
      <c r="H551" s="33" t="s">
        <v>1382</v>
      </c>
      <c r="I551" s="26"/>
      <c r="J551" s="26"/>
      <c r="K551" s="26"/>
    </row>
    <row r="552" spans="1:11">
      <c r="C552" s="17" t="s">
        <v>491</v>
      </c>
      <c r="D552" s="17" t="s">
        <v>492</v>
      </c>
      <c r="E552" s="17" t="s">
        <v>493</v>
      </c>
      <c r="F552" s="17" t="s">
        <v>494</v>
      </c>
      <c r="G552" s="17" t="s">
        <v>495</v>
      </c>
      <c r="H552" s="17" t="s">
        <v>496</v>
      </c>
      <c r="I552" s="17" t="s">
        <v>497</v>
      </c>
      <c r="J552" s="17" t="s">
        <v>498</v>
      </c>
      <c r="K552" s="26"/>
    </row>
    <row r="553" spans="1:11">
      <c r="B553" s="1" t="s">
        <v>430</v>
      </c>
      <c r="C553" s="29" t="s">
        <v>1383</v>
      </c>
      <c r="D553" s="29" t="s">
        <v>1368</v>
      </c>
      <c r="E553" s="29" t="s">
        <v>1353</v>
      </c>
      <c r="F553" s="29" t="s">
        <v>1338</v>
      </c>
      <c r="G553" s="29" t="s">
        <v>1384</v>
      </c>
      <c r="H553" s="29" t="s">
        <v>1369</v>
      </c>
      <c r="I553" s="29" t="s">
        <v>1354</v>
      </c>
      <c r="J553" s="29" t="s">
        <v>1339</v>
      </c>
      <c r="K553" s="26"/>
    </row>
    <row r="554" spans="1:11">
      <c r="B554" s="1"/>
      <c r="C554" s="26"/>
      <c r="D554" s="26"/>
      <c r="E554" s="26"/>
      <c r="F554" s="26"/>
      <c r="G554" s="26"/>
      <c r="H554" s="26"/>
      <c r="I554" s="26"/>
      <c r="J554" s="26"/>
      <c r="K554" s="26"/>
    </row>
    <row r="555" spans="1:11">
      <c r="A555" s="7" t="s">
        <v>428</v>
      </c>
      <c r="B555" s="26">
        <v>62</v>
      </c>
      <c r="C555" s="27" t="s">
        <v>457</v>
      </c>
      <c r="D555" s="27" t="s">
        <v>458</v>
      </c>
      <c r="E555" s="27" t="s">
        <v>459</v>
      </c>
      <c r="F555" s="27" t="s">
        <v>460</v>
      </c>
      <c r="G555" s="27" t="s">
        <v>461</v>
      </c>
      <c r="H555" s="27" t="s">
        <v>462</v>
      </c>
      <c r="I555" s="27" t="s">
        <v>463</v>
      </c>
      <c r="J555" s="27" t="s">
        <v>464</v>
      </c>
      <c r="K555" s="26"/>
    </row>
    <row r="556" spans="1:11">
      <c r="B556" s="1" t="s">
        <v>432</v>
      </c>
      <c r="C556" s="28" t="s">
        <v>1385</v>
      </c>
      <c r="D556" s="28" t="s">
        <v>1368</v>
      </c>
      <c r="E556" s="28" t="s">
        <v>1353</v>
      </c>
      <c r="F556" s="28" t="s">
        <v>1338</v>
      </c>
      <c r="G556" s="28" t="s">
        <v>1384</v>
      </c>
      <c r="H556" s="28" t="s">
        <v>1369</v>
      </c>
      <c r="I556" s="28" t="s">
        <v>1354</v>
      </c>
      <c r="J556" s="28" t="s">
        <v>1339</v>
      </c>
      <c r="K556" s="26"/>
    </row>
    <row r="557" spans="1:11">
      <c r="C557" s="17" t="s">
        <v>474</v>
      </c>
      <c r="D557" s="17" t="s">
        <v>464</v>
      </c>
      <c r="E557" s="17" t="s">
        <v>475</v>
      </c>
      <c r="F557" s="17" t="s">
        <v>476</v>
      </c>
      <c r="G557" s="17" t="s">
        <v>477</v>
      </c>
      <c r="H557" s="17" t="s">
        <v>478</v>
      </c>
      <c r="I557" s="17" t="s">
        <v>479</v>
      </c>
      <c r="J557" s="17" t="s">
        <v>480</v>
      </c>
      <c r="K557" s="17" t="s">
        <v>481</v>
      </c>
    </row>
    <row r="558" spans="1:11">
      <c r="C558" s="17" t="s">
        <v>1386</v>
      </c>
      <c r="D558" s="17" t="s">
        <v>1339</v>
      </c>
      <c r="E558" s="17" t="s">
        <v>1387</v>
      </c>
      <c r="F558" s="17" t="s">
        <v>1388</v>
      </c>
      <c r="G558" s="17" t="s">
        <v>245</v>
      </c>
      <c r="H558" s="17" t="s">
        <v>1389</v>
      </c>
      <c r="I558" s="17" t="s">
        <v>1390</v>
      </c>
      <c r="J558" s="17" t="s">
        <v>1391</v>
      </c>
      <c r="K558" s="17" t="s">
        <v>1392</v>
      </c>
    </row>
    <row r="559" spans="1:11">
      <c r="C559" s="17" t="s">
        <v>485</v>
      </c>
      <c r="D559" s="17" t="s">
        <v>486</v>
      </c>
      <c r="E559" s="17" t="s">
        <v>487</v>
      </c>
      <c r="F559" s="17" t="s">
        <v>488</v>
      </c>
      <c r="G559" s="17" t="s">
        <v>489</v>
      </c>
      <c r="H559" s="17" t="s">
        <v>490</v>
      </c>
      <c r="I559" s="26"/>
      <c r="J559" s="26"/>
      <c r="K559" s="26"/>
    </row>
    <row r="560" spans="1:11">
      <c r="C560" s="33" t="s">
        <v>1393</v>
      </c>
      <c r="D560" s="33" t="s">
        <v>1394</v>
      </c>
      <c r="E560" s="33" t="s">
        <v>1395</v>
      </c>
      <c r="F560" s="33" t="s">
        <v>1396</v>
      </c>
      <c r="G560" s="33" t="s">
        <v>1397</v>
      </c>
      <c r="H560" s="33" t="s">
        <v>1398</v>
      </c>
      <c r="I560" s="26"/>
      <c r="J560" s="26"/>
      <c r="K560" s="26"/>
    </row>
    <row r="561" spans="1:11">
      <c r="C561" s="17" t="s">
        <v>491</v>
      </c>
      <c r="D561" s="17" t="s">
        <v>492</v>
      </c>
      <c r="E561" s="17" t="s">
        <v>493</v>
      </c>
      <c r="F561" s="17" t="s">
        <v>494</v>
      </c>
      <c r="G561" s="17" t="s">
        <v>495</v>
      </c>
      <c r="H561" s="17" t="s">
        <v>496</v>
      </c>
      <c r="I561" s="17" t="s">
        <v>497</v>
      </c>
      <c r="J561" s="17" t="s">
        <v>498</v>
      </c>
      <c r="K561" s="26"/>
    </row>
    <row r="562" spans="1:11">
      <c r="B562" s="1" t="s">
        <v>433</v>
      </c>
      <c r="C562" s="29" t="s">
        <v>1399</v>
      </c>
      <c r="D562" s="29" t="s">
        <v>1385</v>
      </c>
      <c r="E562" s="29" t="s">
        <v>1368</v>
      </c>
      <c r="F562" s="29" t="s">
        <v>1353</v>
      </c>
      <c r="G562" s="29" t="s">
        <v>1400</v>
      </c>
      <c r="H562" s="29" t="s">
        <v>1384</v>
      </c>
      <c r="I562" s="29" t="s">
        <v>1369</v>
      </c>
      <c r="J562" s="29" t="s">
        <v>1354</v>
      </c>
      <c r="K562" s="26"/>
    </row>
    <row r="563" spans="1:11">
      <c r="B563" s="1"/>
      <c r="C563" s="26"/>
      <c r="D563" s="26"/>
      <c r="E563" s="26"/>
      <c r="F563" s="26"/>
      <c r="G563" s="26"/>
      <c r="H563" s="26"/>
      <c r="I563" s="26"/>
      <c r="J563" s="26"/>
      <c r="K563" s="26"/>
    </row>
    <row r="564" spans="1:11">
      <c r="A564" s="7" t="s">
        <v>431</v>
      </c>
      <c r="B564" s="26">
        <v>63</v>
      </c>
      <c r="C564" s="27" t="s">
        <v>457</v>
      </c>
      <c r="D564" s="27" t="s">
        <v>458</v>
      </c>
      <c r="E564" s="27" t="s">
        <v>459</v>
      </c>
      <c r="F564" s="27" t="s">
        <v>460</v>
      </c>
      <c r="G564" s="27" t="s">
        <v>461</v>
      </c>
      <c r="H564" s="27" t="s">
        <v>462</v>
      </c>
      <c r="I564" s="27" t="s">
        <v>463</v>
      </c>
      <c r="J564" s="27" t="s">
        <v>464</v>
      </c>
      <c r="K564" s="26"/>
    </row>
    <row r="565" spans="1:11">
      <c r="B565" s="1" t="s">
        <v>435</v>
      </c>
      <c r="C565" s="28" t="s">
        <v>1399</v>
      </c>
      <c r="D565" s="28" t="s">
        <v>1385</v>
      </c>
      <c r="E565" s="28" t="s">
        <v>1368</v>
      </c>
      <c r="F565" s="28" t="s">
        <v>1353</v>
      </c>
      <c r="G565" s="28" t="s">
        <v>1401</v>
      </c>
      <c r="H565" s="28" t="s">
        <v>1384</v>
      </c>
      <c r="I565" s="28" t="s">
        <v>1369</v>
      </c>
      <c r="J565" s="28" t="s">
        <v>1354</v>
      </c>
      <c r="K565" s="26"/>
    </row>
    <row r="566" spans="1:11">
      <c r="C566" s="17" t="s">
        <v>474</v>
      </c>
      <c r="D566" s="17" t="s">
        <v>464</v>
      </c>
      <c r="E566" s="17" t="s">
        <v>475</v>
      </c>
      <c r="F566" s="17" t="s">
        <v>476</v>
      </c>
      <c r="G566" s="17" t="s">
        <v>477</v>
      </c>
      <c r="H566" s="17" t="s">
        <v>478</v>
      </c>
      <c r="I566" s="17" t="s">
        <v>479</v>
      </c>
      <c r="J566" s="17" t="s">
        <v>480</v>
      </c>
      <c r="K566" s="17" t="s">
        <v>481</v>
      </c>
    </row>
    <row r="567" spans="1:11">
      <c r="C567" s="17" t="s">
        <v>1402</v>
      </c>
      <c r="D567" s="17" t="s">
        <v>1354</v>
      </c>
      <c r="E567" s="17" t="s">
        <v>1403</v>
      </c>
      <c r="F567" s="17" t="s">
        <v>1404</v>
      </c>
      <c r="G567" s="17" t="s">
        <v>246</v>
      </c>
      <c r="H567" s="17" t="s">
        <v>1405</v>
      </c>
      <c r="I567" s="17" t="s">
        <v>1406</v>
      </c>
      <c r="J567" s="17" t="s">
        <v>1407</v>
      </c>
      <c r="K567" s="17" t="s">
        <v>1408</v>
      </c>
    </row>
    <row r="568" spans="1:11">
      <c r="C568" s="17" t="s">
        <v>485</v>
      </c>
      <c r="D568" s="17" t="s">
        <v>486</v>
      </c>
      <c r="E568" s="17" t="s">
        <v>487</v>
      </c>
      <c r="F568" s="17" t="s">
        <v>488</v>
      </c>
      <c r="G568" s="17" t="s">
        <v>489</v>
      </c>
      <c r="H568" s="17" t="s">
        <v>490</v>
      </c>
      <c r="I568" s="26"/>
      <c r="J568" s="26"/>
      <c r="K568" s="26"/>
    </row>
    <row r="569" spans="1:11">
      <c r="C569" s="33" t="s">
        <v>1409</v>
      </c>
      <c r="D569" s="33" t="s">
        <v>1410</v>
      </c>
      <c r="E569" s="33" t="s">
        <v>1411</v>
      </c>
      <c r="F569" s="33" t="s">
        <v>1412</v>
      </c>
      <c r="G569" s="33" t="s">
        <v>1413</v>
      </c>
      <c r="H569" s="33" t="s">
        <v>1414</v>
      </c>
      <c r="I569" s="26"/>
      <c r="J569" s="26"/>
      <c r="K569" s="26"/>
    </row>
    <row r="570" spans="1:11">
      <c r="C570" s="17" t="s">
        <v>491</v>
      </c>
      <c r="D570" s="17" t="s">
        <v>492</v>
      </c>
      <c r="E570" s="17" t="s">
        <v>493</v>
      </c>
      <c r="F570" s="17" t="s">
        <v>494</v>
      </c>
      <c r="G570" s="17" t="s">
        <v>495</v>
      </c>
      <c r="H570" s="17" t="s">
        <v>496</v>
      </c>
      <c r="I570" s="17" t="s">
        <v>497</v>
      </c>
      <c r="J570" s="17" t="s">
        <v>498</v>
      </c>
      <c r="K570" s="26"/>
    </row>
    <row r="571" spans="1:11">
      <c r="B571" s="1" t="s">
        <v>436</v>
      </c>
      <c r="C571" s="29" t="s">
        <v>1415</v>
      </c>
      <c r="D571" s="29" t="s">
        <v>1399</v>
      </c>
      <c r="E571" s="29" t="s">
        <v>1385</v>
      </c>
      <c r="F571" s="29" t="s">
        <v>1368</v>
      </c>
      <c r="G571" s="29" t="s">
        <v>1416</v>
      </c>
      <c r="H571" s="29" t="s">
        <v>1401</v>
      </c>
      <c r="I571" s="29" t="s">
        <v>1384</v>
      </c>
      <c r="J571" s="29" t="s">
        <v>1369</v>
      </c>
      <c r="K571" s="26"/>
    </row>
    <row r="572" spans="1:11">
      <c r="B572" s="1"/>
      <c r="C572" s="26"/>
      <c r="D572" s="26"/>
      <c r="E572" s="26"/>
      <c r="F572" s="26"/>
      <c r="G572" s="26"/>
      <c r="H572" s="26"/>
      <c r="I572" s="26"/>
      <c r="J572" s="26"/>
      <c r="K572" s="26"/>
    </row>
    <row r="573" spans="1:11">
      <c r="A573" s="7" t="s">
        <v>434</v>
      </c>
      <c r="B573" s="26">
        <v>64</v>
      </c>
      <c r="C573" s="27" t="s">
        <v>457</v>
      </c>
      <c r="D573" s="27" t="s">
        <v>458</v>
      </c>
      <c r="E573" s="27" t="s">
        <v>459</v>
      </c>
      <c r="F573" s="27" t="s">
        <v>460</v>
      </c>
      <c r="G573" s="27" t="s">
        <v>461</v>
      </c>
      <c r="H573" s="27" t="s">
        <v>462</v>
      </c>
      <c r="I573" s="27" t="s">
        <v>463</v>
      </c>
      <c r="J573" s="27" t="s">
        <v>464</v>
      </c>
      <c r="K573" s="26"/>
    </row>
    <row r="574" spans="1:11">
      <c r="B574" s="1" t="s">
        <v>437</v>
      </c>
      <c r="C574" s="28" t="s">
        <v>1415</v>
      </c>
      <c r="D574" s="28" t="s">
        <v>1399</v>
      </c>
      <c r="E574" s="28" t="s">
        <v>1385</v>
      </c>
      <c r="F574" s="28" t="s">
        <v>1368</v>
      </c>
      <c r="G574" s="28" t="s">
        <v>1416</v>
      </c>
      <c r="H574" s="28" t="s">
        <v>1401</v>
      </c>
      <c r="I574" s="28" t="s">
        <v>1384</v>
      </c>
      <c r="J574" s="28" t="s">
        <v>1369</v>
      </c>
      <c r="K574" s="26"/>
    </row>
    <row r="575" spans="1:11">
      <c r="C575" s="17" t="s">
        <v>474</v>
      </c>
      <c r="D575" s="17" t="s">
        <v>464</v>
      </c>
      <c r="E575" s="17" t="s">
        <v>475</v>
      </c>
      <c r="F575" s="17" t="s">
        <v>476</v>
      </c>
      <c r="G575" s="17" t="s">
        <v>477</v>
      </c>
      <c r="H575" s="17" t="s">
        <v>478</v>
      </c>
      <c r="I575" s="17" t="s">
        <v>479</v>
      </c>
      <c r="J575" s="17" t="s">
        <v>480</v>
      </c>
      <c r="K575" s="17" t="s">
        <v>481</v>
      </c>
    </row>
    <row r="576" spans="1:11">
      <c r="C576" s="17" t="s">
        <v>1417</v>
      </c>
      <c r="D576" s="17" t="s">
        <v>1369</v>
      </c>
      <c r="E576" s="17" t="s">
        <v>1418</v>
      </c>
      <c r="F576" s="17" t="s">
        <v>1419</v>
      </c>
      <c r="G576" s="17" t="s">
        <v>247</v>
      </c>
      <c r="H576" s="17" t="s">
        <v>1420</v>
      </c>
      <c r="I576" s="17" t="s">
        <v>1421</v>
      </c>
      <c r="J576" s="17" t="s">
        <v>1422</v>
      </c>
      <c r="K576" s="17" t="s">
        <v>1423</v>
      </c>
    </row>
    <row r="577" spans="1:11">
      <c r="C577" s="17" t="s">
        <v>485</v>
      </c>
      <c r="D577" s="17" t="s">
        <v>486</v>
      </c>
      <c r="E577" s="17" t="s">
        <v>487</v>
      </c>
      <c r="F577" s="17" t="s">
        <v>488</v>
      </c>
      <c r="G577" s="17" t="s">
        <v>489</v>
      </c>
      <c r="H577" s="17" t="s">
        <v>490</v>
      </c>
      <c r="I577" s="26"/>
      <c r="J577" s="26"/>
      <c r="K577" s="26"/>
    </row>
    <row r="578" spans="1:11">
      <c r="C578" s="33" t="s">
        <v>1424</v>
      </c>
      <c r="D578" s="33" t="s">
        <v>1425</v>
      </c>
      <c r="E578" s="33" t="s">
        <v>1426</v>
      </c>
      <c r="F578" s="33" t="s">
        <v>1427</v>
      </c>
      <c r="G578" s="33" t="s">
        <v>1428</v>
      </c>
      <c r="H578" s="33" t="s">
        <v>1429</v>
      </c>
      <c r="I578" s="26"/>
      <c r="J578" s="26"/>
      <c r="K578" s="26"/>
    </row>
    <row r="579" spans="1:11">
      <c r="C579" s="17" t="s">
        <v>491</v>
      </c>
      <c r="D579" s="17" t="s">
        <v>492</v>
      </c>
      <c r="E579" s="17" t="s">
        <v>493</v>
      </c>
      <c r="F579" s="17" t="s">
        <v>494</v>
      </c>
      <c r="G579" s="17" t="s">
        <v>495</v>
      </c>
      <c r="H579" s="17" t="s">
        <v>496</v>
      </c>
      <c r="I579" s="17" t="s">
        <v>497</v>
      </c>
      <c r="J579" s="17" t="s">
        <v>498</v>
      </c>
      <c r="K579" s="26"/>
    </row>
    <row r="580" spans="1:11">
      <c r="B580" s="1" t="s">
        <v>438</v>
      </c>
      <c r="C580" s="29" t="s">
        <v>1430</v>
      </c>
      <c r="D580" s="29" t="s">
        <v>1415</v>
      </c>
      <c r="E580" s="29" t="s">
        <v>1399</v>
      </c>
      <c r="F580" s="29" t="s">
        <v>1385</v>
      </c>
      <c r="G580" s="29" t="s">
        <v>1431</v>
      </c>
      <c r="H580" s="29" t="s">
        <v>1416</v>
      </c>
      <c r="I580" s="29" t="s">
        <v>1401</v>
      </c>
      <c r="J580" s="29" t="s">
        <v>1384</v>
      </c>
      <c r="K580" s="26"/>
    </row>
    <row r="581" spans="1:11">
      <c r="B581" s="1"/>
      <c r="C581" s="26"/>
      <c r="D581" s="26"/>
      <c r="E581" s="26"/>
      <c r="F581" s="26"/>
      <c r="G581" s="26"/>
      <c r="H581" s="26"/>
      <c r="I581" s="26"/>
      <c r="J581" s="26"/>
      <c r="K581" s="26"/>
    </row>
    <row r="582" spans="1:11">
      <c r="A582" s="7" t="s">
        <v>1432</v>
      </c>
      <c r="B582" s="26" t="s">
        <v>1433</v>
      </c>
      <c r="C582" s="28" t="s">
        <v>1465</v>
      </c>
      <c r="D582" s="28" t="s">
        <v>1466</v>
      </c>
      <c r="E582" s="28" t="s">
        <v>1399</v>
      </c>
      <c r="F582" s="28" t="s">
        <v>1385</v>
      </c>
      <c r="G582" s="28" t="s">
        <v>1431</v>
      </c>
      <c r="H582" s="28" t="s">
        <v>1416</v>
      </c>
      <c r="I582" s="28" t="s">
        <v>1401</v>
      </c>
      <c r="J582" s="28" t="s">
        <v>1384</v>
      </c>
    </row>
    <row r="583" spans="1:11">
      <c r="B583" s="26" t="s">
        <v>1434</v>
      </c>
      <c r="C583" s="17" t="s">
        <v>1451</v>
      </c>
      <c r="D583" s="17" t="s">
        <v>1452</v>
      </c>
      <c r="E583" s="17" t="s">
        <v>468</v>
      </c>
      <c r="F583" s="17" t="s">
        <v>469</v>
      </c>
      <c r="G583" s="17" t="s">
        <v>470</v>
      </c>
      <c r="H583" s="17" t="s">
        <v>471</v>
      </c>
      <c r="I583" s="17" t="s">
        <v>472</v>
      </c>
      <c r="J583" s="17" t="s">
        <v>473</v>
      </c>
    </row>
    <row r="584" spans="1:11">
      <c r="B584" s="34" t="s">
        <v>1435</v>
      </c>
      <c r="C584" s="35" t="str">
        <f>DEC2HEX(HEX2DEC(C582) + HEX2DEC(C583))</f>
        <v>D7A8FBB3</v>
      </c>
      <c r="D584" s="35" t="str">
        <f>RIGHT(DEC2HEX(HEX2DEC(D582) + HEX2DEC(D583)),7)</f>
        <v>7D78094</v>
      </c>
      <c r="E584" s="35" t="str">
        <f t="shared" ref="E584:I584" si="0">DEC2HEX(HEX2DEC(E582) + HEX2DEC(E583))</f>
        <v>69CA9ABC</v>
      </c>
      <c r="F584" s="35" t="str">
        <f t="shared" si="0"/>
        <v>B0082E4F</v>
      </c>
      <c r="G584" s="35" t="str">
        <f t="shared" si="0"/>
        <v>8D5651E4</v>
      </c>
      <c r="H584" s="35" t="str">
        <f>RIGHT(DEC2HEX(HEX2DEC(H582) + HEX2DEC(H583)),8)</f>
        <v>6D3CDB76</v>
      </c>
      <c r="I584" s="35" t="str">
        <f t="shared" si="0"/>
        <v>2D02D0BF</v>
      </c>
      <c r="J584" s="35" t="s">
        <v>1467</v>
      </c>
    </row>
    <row r="585" spans="1:11">
      <c r="C585" s="36" t="str">
        <f t="shared" ref="C585:J585" si="1">C584</f>
        <v>D7A8FBB3</v>
      </c>
      <c r="D585" s="36" t="str">
        <f t="shared" si="1"/>
        <v>7D78094</v>
      </c>
      <c r="E585" s="36" t="str">
        <f t="shared" si="1"/>
        <v>69CA9ABC</v>
      </c>
      <c r="F585" s="36" t="str">
        <f t="shared" si="1"/>
        <v>B0082E4F</v>
      </c>
      <c r="G585" s="36" t="str">
        <f t="shared" si="1"/>
        <v>8D5651E4</v>
      </c>
      <c r="H585" s="36" t="str">
        <f t="shared" si="1"/>
        <v>6D3CDB76</v>
      </c>
      <c r="I585" s="36" t="str">
        <f t="shared" si="1"/>
        <v>2D02D0BF</v>
      </c>
      <c r="J585" s="36" t="str">
        <f t="shared" si="1"/>
        <v>37C9E592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종합</vt:lpstr>
      <vt:lpstr>메시지분할</vt:lpstr>
      <vt:lpstr>메시지스케줄</vt:lpstr>
      <vt:lpstr>K상수</vt:lpstr>
      <vt:lpstr>라운드연산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KwangjaeLee</dc:creator>
  <cp:lastModifiedBy>지현 곽</cp:lastModifiedBy>
  <dcterms:created xsi:type="dcterms:W3CDTF">2022-05-10T03:56:22Z</dcterms:created>
  <dcterms:modified xsi:type="dcterms:W3CDTF">2024-06-07T15:48:15Z</dcterms:modified>
</cp:coreProperties>
</file>